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roald\Downloads\"/>
    </mc:Choice>
  </mc:AlternateContent>
  <xr:revisionPtr revIDLastSave="0" documentId="13_ncr:1_{7F460D94-7480-4DC1-B25D-AFF7ED884C53}" xr6:coauthVersionLast="47" xr6:coauthVersionMax="47" xr10:uidLastSave="{00000000-0000-0000-0000-000000000000}"/>
  <bookViews>
    <workbookView xWindow="-120" yWindow="-120" windowWidth="29040" windowHeight="15720" activeTab="1" xr2:uid="{57D1C4F5-C5F0-4E89-81B4-697C6B37751E}"/>
  </bookViews>
  <sheets>
    <sheet name="ADMIN" sheetId="2" r:id="rId1"/>
    <sheet name="CALCULATOR" sheetId="1" r:id="rId2"/>
    <sheet name="SCHEDULE" sheetId="3" state="hidden" r:id="rId3"/>
    <sheet name="AGENT" sheetId="5" r:id="rId4"/>
  </sheets>
  <definedNames>
    <definedName name="_xlnm.Print_Area" localSheetId="1">CALCULATOR!$N:$AJ</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75" i="1" l="1"/>
  <c r="B60" i="2"/>
  <c r="B59" i="2"/>
  <c r="B58" i="2"/>
  <c r="B57" i="2"/>
  <c r="B56" i="2"/>
  <c r="AD56" i="1"/>
  <c r="AD76" i="1"/>
  <c r="AD75" i="1"/>
  <c r="AD58" i="1"/>
  <c r="Z41" i="3"/>
  <c r="AD27" i="1"/>
  <c r="AE26" i="1"/>
  <c r="AF24" i="1"/>
  <c r="D20" i="2"/>
  <c r="B21" i="2" s="1"/>
  <c r="A58" i="2"/>
  <c r="A59" i="2"/>
  <c r="A60" i="2"/>
  <c r="A57" i="2"/>
  <c r="C16" i="1"/>
  <c r="C15" i="1"/>
  <c r="C14" i="1"/>
  <c r="C13" i="1"/>
  <c r="C12" i="1"/>
  <c r="C11" i="1"/>
  <c r="C10" i="1"/>
  <c r="A16" i="1"/>
  <c r="A15" i="1"/>
  <c r="A14" i="1"/>
  <c r="A13" i="1"/>
  <c r="A12" i="1"/>
  <c r="A11" i="1"/>
  <c r="A10" i="1"/>
  <c r="X47" i="3" l="1"/>
  <c r="K10" i="3"/>
  <c r="M6" i="1"/>
  <c r="AG6" i="1" s="1"/>
  <c r="AA43" i="3" l="1"/>
  <c r="Z42" i="3"/>
  <c r="C56" i="3"/>
  <c r="C57" i="3"/>
  <c r="C58" i="3"/>
  <c r="C59" i="3"/>
  <c r="C60" i="3"/>
  <c r="C61" i="3"/>
  <c r="C62" i="3"/>
  <c r="C63" i="3"/>
  <c r="C64" i="3"/>
  <c r="C65" i="3"/>
  <c r="C66" i="3"/>
  <c r="C55" i="3"/>
  <c r="O2" i="3" a="1"/>
  <c r="O2" i="3" s="1"/>
  <c r="D79" i="2"/>
  <c r="D78" i="2"/>
  <c r="D77" i="2"/>
  <c r="D76" i="2"/>
  <c r="D75" i="2"/>
  <c r="D74" i="2"/>
  <c r="D70" i="2"/>
  <c r="D69" i="2"/>
  <c r="D67" i="2"/>
  <c r="D66" i="2"/>
  <c r="D60" i="2"/>
  <c r="D59" i="2"/>
  <c r="D58" i="2"/>
  <c r="D57" i="2"/>
  <c r="D56" i="2"/>
  <c r="D50" i="2"/>
  <c r="D49" i="2"/>
  <c r="D48" i="2"/>
  <c r="D47" i="2"/>
  <c r="D46" i="2"/>
  <c r="D45" i="2"/>
  <c r="D44" i="2"/>
  <c r="D29" i="2"/>
  <c r="D28" i="2"/>
  <c r="G35" i="2"/>
  <c r="G36" i="2"/>
  <c r="G37" i="2"/>
  <c r="G38" i="2"/>
  <c r="G39" i="2"/>
  <c r="G40" i="2"/>
  <c r="G41" i="2"/>
  <c r="G34" i="2"/>
  <c r="Z36" i="1"/>
  <c r="Z35" i="1"/>
  <c r="AG22" i="1"/>
  <c r="S4" i="3" l="1"/>
  <c r="R4" i="3"/>
  <c r="S3" i="3"/>
  <c r="U2" i="3"/>
  <c r="T2" i="3"/>
  <c r="R3" i="3"/>
  <c r="Q3" i="3"/>
  <c r="U4" i="3"/>
  <c r="P3" i="3"/>
  <c r="T4" i="3"/>
  <c r="O3" i="3"/>
  <c r="Q4" i="3"/>
  <c r="S2" i="3"/>
  <c r="P4" i="3"/>
  <c r="R2" i="3"/>
  <c r="O4" i="3"/>
  <c r="Q2" i="3"/>
  <c r="U3" i="3"/>
  <c r="P2" i="3"/>
  <c r="T3" i="3"/>
  <c r="D71" i="2" l="1"/>
  <c r="J3" i="1" l="1"/>
  <c r="F3" i="1"/>
  <c r="A3" i="1"/>
  <c r="Q25" i="1"/>
  <c r="R25" i="1" s="1"/>
  <c r="B14" i="1"/>
  <c r="D14" i="1"/>
  <c r="B15" i="1"/>
  <c r="D15" i="1"/>
  <c r="B16" i="1"/>
  <c r="D16" i="1"/>
  <c r="A67" i="3"/>
  <c r="E6" i="2"/>
  <c r="E7" i="2"/>
  <c r="E8" i="2"/>
  <c r="E9" i="2"/>
  <c r="E10" i="2"/>
  <c r="E11" i="2"/>
  <c r="E12" i="2"/>
  <c r="E13" i="2"/>
  <c r="E14" i="2"/>
  <c r="E15" i="2"/>
  <c r="E16" i="2"/>
  <c r="E17" i="2"/>
  <c r="E5" i="2"/>
  <c r="C67" i="3" l="1"/>
  <c r="D13" i="1"/>
  <c r="B13" i="1"/>
  <c r="D12" i="1"/>
  <c r="B12" i="1"/>
  <c r="B10" i="1"/>
  <c r="D11" i="1"/>
  <c r="D10" i="1"/>
  <c r="B11" i="1"/>
  <c r="R6" i="3"/>
  <c r="Q5" i="3"/>
  <c r="Q6" i="3"/>
  <c r="U5" i="3"/>
  <c r="P5" i="3"/>
  <c r="R5" i="3"/>
  <c r="O5" i="3"/>
  <c r="S5" i="3"/>
  <c r="T6" i="3"/>
  <c r="T5" i="3"/>
  <c r="U6" i="3"/>
  <c r="O6" i="3"/>
  <c r="P6" i="3"/>
  <c r="S6" i="3"/>
  <c r="M20" i="1"/>
  <c r="M21" i="1" s="1"/>
  <c r="AH18" i="1"/>
  <c r="AH17" i="1"/>
  <c r="O9" i="3" l="1" a="1"/>
  <c r="Q9" i="3" s="1"/>
  <c r="O8" i="3" a="1"/>
  <c r="O8" i="3" s="1"/>
  <c r="B17" i="1"/>
  <c r="D17" i="1"/>
  <c r="R7" i="3"/>
  <c r="Q7" i="3"/>
  <c r="T7" i="3"/>
  <c r="S7" i="3"/>
  <c r="O7" i="3"/>
  <c r="P7" i="3"/>
  <c r="U7" i="3"/>
  <c r="AH12" i="1"/>
  <c r="AH19" i="1"/>
  <c r="AH13" i="1"/>
  <c r="R9" i="3" l="1"/>
  <c r="S9" i="3"/>
  <c r="T9" i="3"/>
  <c r="U9" i="3"/>
  <c r="O9" i="3"/>
  <c r="P8" i="3"/>
  <c r="Q8" i="3"/>
  <c r="P9" i="3"/>
  <c r="R8" i="3"/>
  <c r="T8" i="3"/>
  <c r="U8" i="3"/>
  <c r="S8" i="3"/>
  <c r="Q26" i="1"/>
  <c r="R26" i="1" s="1"/>
  <c r="Q27" i="1" l="1"/>
  <c r="Q28" i="1" l="1"/>
  <c r="B13" i="3"/>
  <c r="Q29" i="1"/>
  <c r="Q31" i="1" s="1"/>
  <c r="R27" i="1"/>
  <c r="O23" i="1"/>
  <c r="Q32" i="1" l="1"/>
  <c r="R29" i="1"/>
  <c r="R28" i="1"/>
  <c r="R10" i="3"/>
  <c r="R11" i="3" s="1"/>
  <c r="Q10" i="3"/>
  <c r="Q11" i="3" s="1"/>
  <c r="S10" i="3"/>
  <c r="S11" i="3" s="1"/>
  <c r="O10" i="3"/>
  <c r="O11" i="3" s="1"/>
  <c r="O28" i="3" s="1"/>
  <c r="P10" i="3"/>
  <c r="P11" i="3" s="1"/>
  <c r="T10" i="3"/>
  <c r="T11" i="3" s="1"/>
  <c r="Q33" i="1" l="1"/>
  <c r="F23" i="1" s="1"/>
  <c r="T36" i="3"/>
  <c r="T34" i="3"/>
  <c r="T32" i="3"/>
  <c r="T26" i="3"/>
  <c r="T23" i="3"/>
  <c r="T31" i="3"/>
  <c r="T24" i="3"/>
  <c r="T13" i="3"/>
  <c r="T14" i="3"/>
  <c r="T19" i="3"/>
  <c r="T35" i="3"/>
  <c r="T30" i="3"/>
  <c r="T18" i="3"/>
  <c r="T33" i="3"/>
  <c r="T28" i="3"/>
  <c r="T22" i="3"/>
  <c r="T20" i="3"/>
  <c r="T15" i="3"/>
  <c r="T17" i="3"/>
  <c r="T27" i="3"/>
  <c r="T25" i="3"/>
  <c r="T21" i="3"/>
  <c r="T16" i="3"/>
  <c r="T29" i="3"/>
  <c r="S14" i="3"/>
  <c r="S26" i="3"/>
  <c r="S36" i="3"/>
  <c r="S32" i="3"/>
  <c r="S20" i="3"/>
  <c r="S35" i="3"/>
  <c r="S17" i="3"/>
  <c r="S19" i="3"/>
  <c r="S33" i="3"/>
  <c r="S27" i="3"/>
  <c r="S16" i="3"/>
  <c r="S18" i="3"/>
  <c r="S28" i="3"/>
  <c r="S15" i="3"/>
  <c r="S13" i="3"/>
  <c r="S34" i="3"/>
  <c r="S23" i="3"/>
  <c r="S21" i="3"/>
  <c r="S29" i="3"/>
  <c r="S24" i="3"/>
  <c r="S30" i="3"/>
  <c r="S31" i="3"/>
  <c r="S22" i="3"/>
  <c r="S25" i="3"/>
  <c r="R21" i="3"/>
  <c r="R18" i="3"/>
  <c r="R15" i="3"/>
  <c r="R19" i="3"/>
  <c r="R32" i="3"/>
  <c r="R14" i="3"/>
  <c r="R33" i="3"/>
  <c r="R36" i="3"/>
  <c r="R30" i="3"/>
  <c r="R16" i="3"/>
  <c r="R31" i="3"/>
  <c r="R24" i="3"/>
  <c r="R17" i="3"/>
  <c r="R34" i="3"/>
  <c r="R35" i="3"/>
  <c r="R28" i="3"/>
  <c r="R13" i="3"/>
  <c r="R23" i="3"/>
  <c r="R26" i="3"/>
  <c r="R29" i="3"/>
  <c r="R22" i="3"/>
  <c r="R27" i="3"/>
  <c r="R20" i="3"/>
  <c r="R25" i="3"/>
  <c r="O20" i="3"/>
  <c r="O24" i="3"/>
  <c r="O23" i="3"/>
  <c r="O32" i="3"/>
  <c r="O14" i="3"/>
  <c r="O25" i="3"/>
  <c r="O21" i="3"/>
  <c r="O27" i="3"/>
  <c r="O17" i="3"/>
  <c r="O36" i="3"/>
  <c r="O18" i="3"/>
  <c r="O33" i="3"/>
  <c r="O35" i="3"/>
  <c r="O15" i="3"/>
  <c r="O13" i="3"/>
  <c r="O31" i="3"/>
  <c r="O16" i="3"/>
  <c r="O19" i="3"/>
  <c r="O30" i="3"/>
  <c r="O22" i="3"/>
  <c r="O26" i="3"/>
  <c r="O29" i="3"/>
  <c r="O34" i="3"/>
  <c r="U10" i="3"/>
  <c r="U11" i="3" s="1"/>
  <c r="Q33" i="3"/>
  <c r="Q28" i="3"/>
  <c r="Q32" i="3"/>
  <c r="Q35" i="3"/>
  <c r="Q30" i="3"/>
  <c r="Q34" i="3"/>
  <c r="Q31" i="3"/>
  <c r="Q23" i="3"/>
  <c r="Q36" i="3"/>
  <c r="Q24" i="3"/>
  <c r="Q13" i="3"/>
  <c r="Q27" i="3"/>
  <c r="Q14" i="3"/>
  <c r="Q17" i="3"/>
  <c r="Q25" i="3"/>
  <c r="Q20" i="3"/>
  <c r="Q15" i="3"/>
  <c r="Q21" i="3"/>
  <c r="Q26" i="3"/>
  <c r="Q16" i="3"/>
  <c r="Q19" i="3"/>
  <c r="Q18" i="3"/>
  <c r="Q29" i="3"/>
  <c r="Q22" i="3"/>
  <c r="B18" i="3"/>
  <c r="B31" i="3"/>
  <c r="B22" i="3"/>
  <c r="B20" i="3"/>
  <c r="B30" i="3"/>
  <c r="B25" i="3"/>
  <c r="B35" i="3"/>
  <c r="B23" i="3"/>
  <c r="B29" i="3"/>
  <c r="B28" i="3"/>
  <c r="B33" i="3"/>
  <c r="B32" i="3"/>
  <c r="B27" i="3"/>
  <c r="B34" i="3"/>
  <c r="B26" i="3"/>
  <c r="B21" i="3"/>
  <c r="B36" i="3"/>
  <c r="B24" i="3"/>
  <c r="B16" i="3"/>
  <c r="B15" i="3"/>
  <c r="B14" i="3"/>
  <c r="B17" i="3"/>
  <c r="B19" i="3"/>
  <c r="P28" i="3"/>
  <c r="P19" i="3"/>
  <c r="P31" i="3"/>
  <c r="P34" i="3"/>
  <c r="P18" i="3"/>
  <c r="P36" i="3"/>
  <c r="P35" i="3"/>
  <c r="P33" i="3"/>
  <c r="P23" i="3"/>
  <c r="P17" i="3"/>
  <c r="P32" i="3"/>
  <c r="P30" i="3"/>
  <c r="P21" i="3"/>
  <c r="P14" i="3"/>
  <c r="P20" i="3"/>
  <c r="P22" i="3"/>
  <c r="P26" i="3"/>
  <c r="P27" i="3"/>
  <c r="P16" i="3"/>
  <c r="P13" i="3"/>
  <c r="P15" i="3"/>
  <c r="P29" i="3"/>
  <c r="P25" i="3"/>
  <c r="P24" i="3"/>
  <c r="W7" i="1" l="1"/>
  <c r="Z6" i="1" s="1"/>
  <c r="U31" i="3"/>
  <c r="C31" i="3" s="1"/>
  <c r="D31" i="3" s="1"/>
  <c r="F31" i="3" s="1"/>
  <c r="G31" i="3" s="1"/>
  <c r="U32" i="3"/>
  <c r="C32" i="3" s="1"/>
  <c r="D32" i="3" s="1"/>
  <c r="F32" i="3" s="1"/>
  <c r="G32" i="3" s="1"/>
  <c r="U29" i="3"/>
  <c r="C29" i="3" s="1"/>
  <c r="D29" i="3" s="1"/>
  <c r="U30" i="3"/>
  <c r="C30" i="3" s="1"/>
  <c r="D30" i="3" s="1"/>
  <c r="U33" i="3"/>
  <c r="C33" i="3" s="1"/>
  <c r="D33" i="3" s="1"/>
  <c r="F33" i="3" s="1"/>
  <c r="G33" i="3" s="1"/>
  <c r="U27" i="3"/>
  <c r="C27" i="3" s="1"/>
  <c r="D27" i="3" s="1"/>
  <c r="U28" i="3"/>
  <c r="C28" i="3" s="1"/>
  <c r="D28" i="3" s="1"/>
  <c r="U19" i="3"/>
  <c r="C19" i="3" s="1"/>
  <c r="D19" i="3" s="1"/>
  <c r="U17" i="3"/>
  <c r="C17" i="3" s="1"/>
  <c r="D17" i="3" s="1"/>
  <c r="F17" i="3" s="1"/>
  <c r="G17" i="3" s="1"/>
  <c r="U25" i="3"/>
  <c r="C25" i="3" s="1"/>
  <c r="D25" i="3" s="1"/>
  <c r="U26" i="3"/>
  <c r="C26" i="3" s="1"/>
  <c r="D26" i="3" s="1"/>
  <c r="U23" i="3"/>
  <c r="C23" i="3" s="1"/>
  <c r="D23" i="3" s="1"/>
  <c r="U24" i="3"/>
  <c r="C24" i="3" s="1"/>
  <c r="D24" i="3" s="1"/>
  <c r="U13" i="3"/>
  <c r="C13" i="3" s="1"/>
  <c r="U21" i="3"/>
  <c r="C21" i="3" s="1"/>
  <c r="D21" i="3" s="1"/>
  <c r="U22" i="3"/>
  <c r="C22" i="3" s="1"/>
  <c r="D22" i="3" s="1"/>
  <c r="U15" i="3"/>
  <c r="C15" i="3" s="1"/>
  <c r="D15" i="3" s="1"/>
  <c r="F15" i="3" s="1"/>
  <c r="G15" i="3" s="1"/>
  <c r="U18" i="3"/>
  <c r="C18" i="3" s="1"/>
  <c r="D18" i="3" s="1"/>
  <c r="F18" i="3" s="1"/>
  <c r="G18" i="3" s="1"/>
  <c r="U20" i="3"/>
  <c r="C20" i="3" s="1"/>
  <c r="D20" i="3" s="1"/>
  <c r="U34" i="3"/>
  <c r="C34" i="3" s="1"/>
  <c r="D34" i="3" s="1"/>
  <c r="F34" i="3" s="1"/>
  <c r="G34" i="3" s="1"/>
  <c r="U16" i="3"/>
  <c r="C16" i="3" s="1"/>
  <c r="D16" i="3" s="1"/>
  <c r="F16" i="3" s="1"/>
  <c r="G16" i="3" s="1"/>
  <c r="U35" i="3"/>
  <c r="C35" i="3" s="1"/>
  <c r="D35" i="3" s="1"/>
  <c r="F35" i="3" s="1"/>
  <c r="G35" i="3" s="1"/>
  <c r="U36" i="3"/>
  <c r="C36" i="3" s="1"/>
  <c r="D36" i="3" s="1"/>
  <c r="F36" i="3" s="1"/>
  <c r="G36" i="3" s="1"/>
  <c r="U14" i="3"/>
  <c r="C14" i="3" s="1"/>
  <c r="D14" i="3" s="1"/>
  <c r="F14" i="3" s="1"/>
  <c r="G14" i="3" s="1"/>
  <c r="B37" i="3"/>
  <c r="B42" i="3" s="1"/>
  <c r="B40" i="3"/>
  <c r="Z9" i="3" l="1"/>
  <c r="Z10" i="3" s="1"/>
  <c r="Z11" i="3" s="1"/>
  <c r="Z12" i="3" s="1"/>
  <c r="Z13" i="3" s="1"/>
  <c r="Z14" i="3" s="1"/>
  <c r="Z15" i="3" s="1"/>
  <c r="Z16" i="3" s="1"/>
  <c r="Z17" i="3" s="1"/>
  <c r="Z18" i="3" s="1"/>
  <c r="Z19" i="3" s="1"/>
  <c r="Z20" i="3" s="1"/>
  <c r="Z21" i="3" s="1"/>
  <c r="Z22" i="3" s="1"/>
  <c r="Z23" i="3" s="1"/>
  <c r="Z24" i="3" s="1"/>
  <c r="Z25" i="3" s="1"/>
  <c r="Z26" i="3" s="1"/>
  <c r="Z27" i="3" s="1"/>
  <c r="Z28" i="3" s="1"/>
  <c r="Z29" i="3" s="1"/>
  <c r="Z30" i="3" s="1"/>
  <c r="Z31" i="3" s="1"/>
  <c r="Z32" i="3" s="1"/>
  <c r="Z33" i="3" s="1"/>
  <c r="Z34" i="3" s="1"/>
  <c r="Z35" i="3" s="1"/>
  <c r="Z36" i="3" s="1"/>
  <c r="Z37" i="3" s="1"/>
  <c r="Z38" i="3" s="1"/>
  <c r="C22" i="2"/>
  <c r="B41" i="3"/>
  <c r="C37" i="3"/>
  <c r="C42" i="3" s="1"/>
  <c r="D13" i="3"/>
  <c r="D37" i="3" s="1"/>
  <c r="C40" i="3"/>
  <c r="D40" i="3"/>
  <c r="Z6" i="3" l="1"/>
  <c r="Y6" i="1"/>
  <c r="G18" i="1" s="1"/>
  <c r="AA36" i="1"/>
  <c r="E77" i="2"/>
  <c r="E52" i="2"/>
  <c r="E44" i="2"/>
  <c r="E66" i="2"/>
  <c r="E60" i="2"/>
  <c r="E50" i="2"/>
  <c r="E48" i="2"/>
  <c r="E29" i="2"/>
  <c r="E49" i="2"/>
  <c r="E69" i="2"/>
  <c r="E62" i="2"/>
  <c r="E45" i="2"/>
  <c r="E57" i="2"/>
  <c r="E46" i="2"/>
  <c r="E74" i="2"/>
  <c r="E67" i="2"/>
  <c r="E70" i="2"/>
  <c r="E59" i="2"/>
  <c r="E78" i="2"/>
  <c r="E47" i="2"/>
  <c r="E51" i="2"/>
  <c r="E68" i="2"/>
  <c r="E56" i="2"/>
  <c r="AA35" i="1"/>
  <c r="E28" i="2"/>
  <c r="AA6" i="1" s="1"/>
  <c r="AB6" i="1" s="1"/>
  <c r="E61" i="2"/>
  <c r="E75" i="2"/>
  <c r="E58" i="2"/>
  <c r="E76" i="2"/>
  <c r="E79" i="2"/>
  <c r="D42" i="3"/>
  <c r="C43" i="3" s="1"/>
  <c r="F13" i="3"/>
  <c r="C41" i="3"/>
  <c r="C53" i="3" l="1"/>
  <c r="Z44" i="3" s="1"/>
  <c r="AA8" i="1"/>
  <c r="AB8" i="1" s="1"/>
  <c r="AA10" i="1"/>
  <c r="AB10" i="1" s="1"/>
  <c r="AA7" i="1"/>
  <c r="AB7" i="1" s="1"/>
  <c r="AA14" i="1"/>
  <c r="AB14" i="1" s="1"/>
  <c r="E71" i="2"/>
  <c r="AA11" i="1" s="1"/>
  <c r="AB11" i="1" s="1"/>
  <c r="AA9" i="1"/>
  <c r="AB9" i="1" s="1"/>
  <c r="A78" i="2"/>
  <c r="Z30" i="1" s="1"/>
  <c r="AA15" i="1"/>
  <c r="AB15" i="1" s="1"/>
  <c r="E42" i="3"/>
  <c r="D41" i="3"/>
  <c r="E41" i="3" s="1"/>
  <c r="B43" i="3"/>
  <c r="D43" i="3"/>
  <c r="G19" i="1"/>
  <c r="G20" i="1" s="1"/>
  <c r="E40" i="3"/>
  <c r="G13" i="3"/>
  <c r="D61" i="3" l="1"/>
  <c r="C54" i="3"/>
  <c r="D64" i="3"/>
  <c r="D55" i="3"/>
  <c r="D62" i="3"/>
  <c r="D60" i="3"/>
  <c r="D65" i="3"/>
  <c r="D57" i="3"/>
  <c r="D66" i="3"/>
  <c r="D58" i="3"/>
  <c r="D56" i="3"/>
  <c r="D63" i="3"/>
  <c r="D59" i="3"/>
  <c r="A79" i="2"/>
  <c r="E19" i="3" a="1"/>
  <c r="AA16" i="1"/>
  <c r="AB16" i="1" s="1"/>
  <c r="G21" i="1"/>
  <c r="W20" i="1"/>
  <c r="Y20" i="1" s="1"/>
  <c r="W19" i="1"/>
  <c r="Y19" i="1" s="1"/>
  <c r="D54" i="3" l="1"/>
  <c r="E24" i="3"/>
  <c r="F24" i="3" s="1"/>
  <c r="G24" i="3" s="1"/>
  <c r="E20" i="3"/>
  <c r="F20" i="3" s="1"/>
  <c r="G20" i="3" s="1"/>
  <c r="E29" i="3"/>
  <c r="F29" i="3" s="1"/>
  <c r="G29" i="3" s="1"/>
  <c r="E26" i="3"/>
  <c r="F26" i="3" s="1"/>
  <c r="G26" i="3" s="1"/>
  <c r="E23" i="3"/>
  <c r="F23" i="3" s="1"/>
  <c r="G23" i="3" s="1"/>
  <c r="E25" i="3"/>
  <c r="F25" i="3" s="1"/>
  <c r="G25" i="3" s="1"/>
  <c r="E22" i="3"/>
  <c r="F22" i="3" s="1"/>
  <c r="G22" i="3" s="1"/>
  <c r="E19" i="3"/>
  <c r="E28" i="3"/>
  <c r="F28" i="3" s="1"/>
  <c r="G28" i="3" s="1"/>
  <c r="E27" i="3"/>
  <c r="F27" i="3" s="1"/>
  <c r="G27" i="3" s="1"/>
  <c r="E30" i="3"/>
  <c r="F30" i="3" s="1"/>
  <c r="G30" i="3" s="1"/>
  <c r="E21" i="3"/>
  <c r="F21" i="3" s="1"/>
  <c r="G21" i="3" s="1"/>
  <c r="H19" i="1"/>
  <c r="AA20" i="1"/>
  <c r="AB20" i="1" s="1"/>
  <c r="H20" i="1"/>
  <c r="W21" i="1"/>
  <c r="Y21" i="1" s="1"/>
  <c r="E37" i="3" l="1"/>
  <c r="F19" i="3"/>
  <c r="G19" i="3" s="1"/>
  <c r="G37" i="3" s="1"/>
  <c r="G12" i="3" s="1"/>
  <c r="H21" i="1"/>
  <c r="H17" i="1" s="1"/>
  <c r="G17" i="1" s="1"/>
  <c r="V22" i="1" s="1"/>
  <c r="AA19" i="1"/>
  <c r="AB19" i="1" s="1"/>
  <c r="F37" i="3" l="1"/>
  <c r="F40" i="3" s="1"/>
  <c r="AA21" i="1"/>
  <c r="Y25" i="1"/>
  <c r="F38" i="3" l="1"/>
  <c r="F41" i="3" s="1"/>
  <c r="AB21" i="1"/>
  <c r="AA23" i="1"/>
  <c r="AB23" i="1" s="1"/>
  <c r="H12" i="3"/>
  <c r="H10" i="3"/>
  <c r="A74" i="2"/>
  <c r="H24" i="1"/>
  <c r="I59" i="3"/>
  <c r="J59" i="3" s="1"/>
  <c r="H59" i="3"/>
  <c r="H58" i="3" s="1"/>
  <c r="AB24" i="1" l="1"/>
  <c r="AA26" i="1"/>
  <c r="A75" i="2"/>
  <c r="V26" i="1"/>
  <c r="AA28" i="1"/>
  <c r="AB28" i="1" s="1"/>
  <c r="AA30" i="1"/>
  <c r="AB30" i="1" s="1"/>
  <c r="AA29" i="1"/>
  <c r="AB29" i="1" s="1"/>
  <c r="K12" i="3"/>
  <c r="H13" i="3"/>
  <c r="G51" i="3"/>
  <c r="G52" i="3" s="1"/>
  <c r="I13" i="3" l="1"/>
  <c r="J13" i="3" s="1"/>
  <c r="K13" i="3" s="1"/>
  <c r="L13" i="3" s="1"/>
  <c r="M13" i="3" s="1"/>
  <c r="H14" i="3"/>
  <c r="Z27" i="1"/>
  <c r="AA27" i="1"/>
  <c r="AB27" i="1" s="1"/>
  <c r="AB26" i="1"/>
  <c r="AI5" i="1" l="1"/>
  <c r="AI6" i="1" s="1"/>
  <c r="M7" i="1" s="1"/>
  <c r="M8" i="1" s="1"/>
  <c r="M9" i="1" s="1"/>
  <c r="AI9" i="1" s="1"/>
  <c r="I14" i="3"/>
  <c r="J14" i="3" s="1"/>
  <c r="K14" i="3" s="1"/>
  <c r="L14" i="3" s="1"/>
  <c r="M14" i="3" s="1"/>
  <c r="H15" i="3"/>
  <c r="AI12" i="1" l="1"/>
  <c r="AI16" i="1" s="1"/>
  <c r="AI8" i="1"/>
  <c r="AH8" i="1" s="1"/>
  <c r="I15" i="3"/>
  <c r="J15" i="3" s="1"/>
  <c r="K15" i="3" s="1"/>
  <c r="L15" i="3" s="1"/>
  <c r="M15" i="3" s="1"/>
  <c r="H16" i="3"/>
  <c r="AI13" i="1" l="1"/>
  <c r="AG14" i="1" s="1"/>
  <c r="M12" i="1"/>
  <c r="M14" i="1" s="1"/>
  <c r="M15" i="1" s="1"/>
  <c r="AI22" i="1" s="1"/>
  <c r="I16" i="3"/>
  <c r="J16" i="3" s="1"/>
  <c r="K16" i="3" s="1"/>
  <c r="H17" i="3"/>
  <c r="Y25" i="3" l="1"/>
  <c r="AA25" i="3" s="1"/>
  <c r="Y37" i="3"/>
  <c r="AA37" i="3" s="1"/>
  <c r="Y32" i="3"/>
  <c r="AA32" i="3" s="1"/>
  <c r="Y14" i="3"/>
  <c r="AA14" i="3" s="1"/>
  <c r="Y26" i="3"/>
  <c r="AA26" i="3" s="1"/>
  <c r="Y38" i="3"/>
  <c r="AA38" i="3" s="1"/>
  <c r="Y29" i="3"/>
  <c r="AA29" i="3" s="1"/>
  <c r="Y21" i="3"/>
  <c r="AA21" i="3" s="1"/>
  <c r="Y15" i="3"/>
  <c r="AA15" i="3" s="1"/>
  <c r="Y27" i="3"/>
  <c r="AA27" i="3" s="1"/>
  <c r="Y9" i="3"/>
  <c r="AA9" i="3" s="1"/>
  <c r="Y12" i="3"/>
  <c r="AA12" i="3" s="1"/>
  <c r="Y33" i="3"/>
  <c r="AA33" i="3" s="1"/>
  <c r="Y23" i="3"/>
  <c r="AA23" i="3" s="1"/>
  <c r="Y36" i="3"/>
  <c r="AA36" i="3" s="1"/>
  <c r="Y16" i="3"/>
  <c r="AA16" i="3" s="1"/>
  <c r="Y28" i="3"/>
  <c r="AA28" i="3" s="1"/>
  <c r="Y10" i="3"/>
  <c r="AA10" i="3" s="1"/>
  <c r="Y11" i="3"/>
  <c r="AA11" i="3" s="1"/>
  <c r="Y22" i="3"/>
  <c r="AA22" i="3" s="1"/>
  <c r="Y17" i="3"/>
  <c r="AA17" i="3" s="1"/>
  <c r="Y18" i="3"/>
  <c r="AA18" i="3" s="1"/>
  <c r="Y30" i="3"/>
  <c r="AA30" i="3" s="1"/>
  <c r="Y20" i="3"/>
  <c r="AA20" i="3" s="1"/>
  <c r="Y34" i="3"/>
  <c r="AA34" i="3" s="1"/>
  <c r="Y24" i="3"/>
  <c r="AA24" i="3" s="1"/>
  <c r="Y19" i="3"/>
  <c r="AA19" i="3" s="1"/>
  <c r="Y31" i="3"/>
  <c r="AA31" i="3" s="1"/>
  <c r="Y13" i="3"/>
  <c r="AA13" i="3" s="1"/>
  <c r="Y35" i="3"/>
  <c r="AA35" i="3" s="1"/>
  <c r="AI26" i="1"/>
  <c r="AH14" i="1"/>
  <c r="AI18" i="1"/>
  <c r="AI17" i="1" s="1"/>
  <c r="A2" i="2"/>
  <c r="I17" i="3"/>
  <c r="J17" i="3" s="1"/>
  <c r="K17" i="3" s="1"/>
  <c r="L17" i="3" s="1"/>
  <c r="M17" i="3" s="1"/>
  <c r="H18" i="3"/>
  <c r="L16" i="3"/>
  <c r="M16" i="3" s="1"/>
  <c r="AG26" i="1" l="1"/>
  <c r="Y8" i="3"/>
  <c r="AA8" i="3" s="1"/>
  <c r="AC8" i="3" s="1"/>
  <c r="AI19" i="1"/>
  <c r="AG21" i="1" s="1"/>
  <c r="H19" i="3"/>
  <c r="I19" i="3" s="1"/>
  <c r="J19" i="3" s="1"/>
  <c r="I18" i="3"/>
  <c r="J18" i="3" s="1"/>
  <c r="K18" i="3" s="1"/>
  <c r="Z43" i="3" l="1"/>
  <c r="Z45" i="3" s="1"/>
  <c r="AH56" i="1" s="1"/>
  <c r="Y6" i="3"/>
  <c r="AA6" i="3" s="1"/>
  <c r="AH21" i="1"/>
  <c r="AH35" i="1" s="1"/>
  <c r="L18" i="3"/>
  <c r="M18" i="3" s="1"/>
  <c r="K19" i="3"/>
  <c r="L19" i="3" s="1"/>
  <c r="M19" i="3" s="1"/>
  <c r="H20" i="3"/>
  <c r="I20" i="3" s="1"/>
  <c r="J20" i="3" s="1"/>
  <c r="H21" i="3" l="1"/>
  <c r="I21" i="3" s="1"/>
  <c r="J21" i="3" s="1"/>
  <c r="K20" i="3"/>
  <c r="L20" i="3" l="1"/>
  <c r="M20" i="3" s="1"/>
  <c r="K21" i="3"/>
  <c r="H22" i="3"/>
  <c r="I22" i="3" s="1"/>
  <c r="J22" i="3" s="1"/>
  <c r="H23" i="3" l="1"/>
  <c r="I23" i="3" s="1"/>
  <c r="J23" i="3" s="1"/>
  <c r="L21" i="3"/>
  <c r="M21" i="3" s="1"/>
  <c r="K22" i="3"/>
  <c r="K23" i="3" l="1"/>
  <c r="L23" i="3" s="1"/>
  <c r="M23" i="3" s="1"/>
  <c r="L22" i="3"/>
  <c r="M22" i="3" s="1"/>
  <c r="H24" i="3"/>
  <c r="H25" i="3" l="1"/>
  <c r="I25" i="3" s="1"/>
  <c r="J25" i="3" s="1"/>
  <c r="I24" i="3"/>
  <c r="J24" i="3" s="1"/>
  <c r="K24" i="3" s="1"/>
  <c r="K25" i="3" l="1"/>
  <c r="L24" i="3"/>
  <c r="M24" i="3" s="1"/>
  <c r="H26" i="3"/>
  <c r="I26" i="3" s="1"/>
  <c r="J26" i="3" s="1"/>
  <c r="K26" i="3" l="1"/>
  <c r="L26" i="3" s="1"/>
  <c r="M26" i="3" s="1"/>
  <c r="H27" i="3"/>
  <c r="I27" i="3" s="1"/>
  <c r="J27" i="3" s="1"/>
  <c r="L25" i="3"/>
  <c r="M25" i="3" s="1"/>
  <c r="H28" i="3" l="1"/>
  <c r="I28" i="3" s="1"/>
  <c r="K27" i="3"/>
  <c r="L27" i="3" s="1"/>
  <c r="M27" i="3" s="1"/>
  <c r="J28" i="3" l="1"/>
  <c r="H29" i="3"/>
  <c r="H30" i="3" l="1"/>
  <c r="I30" i="3" s="1"/>
  <c r="J30" i="3" s="1"/>
  <c r="I29" i="3"/>
  <c r="K28" i="3"/>
  <c r="L28" i="3" l="1"/>
  <c r="J29" i="3"/>
  <c r="K29" i="3" s="1"/>
  <c r="L29" i="3" s="1"/>
  <c r="M29" i="3" s="1"/>
  <c r="H31" i="3"/>
  <c r="H32" i="3" l="1"/>
  <c r="I32" i="3" s="1"/>
  <c r="J32" i="3" s="1"/>
  <c r="I31" i="3"/>
  <c r="M28" i="3"/>
  <c r="K30" i="3"/>
  <c r="L30" i="3" s="1"/>
  <c r="M30" i="3" s="1"/>
  <c r="J31" i="3" l="1"/>
  <c r="K31" i="3" s="1"/>
  <c r="H33" i="3"/>
  <c r="K32" i="3" l="1"/>
  <c r="L32" i="3" s="1"/>
  <c r="M32" i="3" s="1"/>
  <c r="L31" i="3"/>
  <c r="H34" i="3"/>
  <c r="I34" i="3" s="1"/>
  <c r="J34" i="3" s="1"/>
  <c r="I33" i="3"/>
  <c r="J33" i="3" l="1"/>
  <c r="K33" i="3" s="1"/>
  <c r="H35" i="3"/>
  <c r="H36" i="3" s="1"/>
  <c r="I36" i="3" s="1"/>
  <c r="J36" i="3" s="1"/>
  <c r="M31" i="3"/>
  <c r="I35" i="3" l="1"/>
  <c r="J35" i="3" s="1"/>
  <c r="J37" i="3" s="1"/>
  <c r="J43" i="3" s="1"/>
  <c r="J44" i="3" s="1"/>
  <c r="J45" i="3" s="1"/>
  <c r="X3" i="3" s="1"/>
  <c r="K34" i="3"/>
  <c r="L34" i="3" s="1"/>
  <c r="M34" i="3" s="1"/>
  <c r="L33" i="3"/>
  <c r="I37" i="3"/>
  <c r="I38" i="3" s="1"/>
  <c r="Y3" i="3" l="1"/>
  <c r="Z3" i="3" s="1"/>
  <c r="AB9" i="3"/>
  <c r="AB10" i="3" s="1"/>
  <c r="AB11" i="3" s="1"/>
  <c r="AB12" i="3" s="1"/>
  <c r="AB13" i="3" s="1"/>
  <c r="AB14" i="3" s="1"/>
  <c r="AB15" i="3" s="1"/>
  <c r="AB16" i="3" s="1"/>
  <c r="AB17" i="3" s="1"/>
  <c r="AB18" i="3" s="1"/>
  <c r="AB19" i="3" s="1"/>
  <c r="AB20" i="3" s="1"/>
  <c r="AB21" i="3" s="1"/>
  <c r="AB22" i="3" s="1"/>
  <c r="AB23" i="3" s="1"/>
  <c r="AB24" i="3" s="1"/>
  <c r="AB25" i="3" s="1"/>
  <c r="AB26" i="3" s="1"/>
  <c r="AB27" i="3" s="1"/>
  <c r="AB28" i="3" s="1"/>
  <c r="AB29" i="3" s="1"/>
  <c r="AB30" i="3" s="1"/>
  <c r="AB31" i="3" s="1"/>
  <c r="AB32" i="3" s="1"/>
  <c r="AB33" i="3" s="1"/>
  <c r="AB34" i="3" s="1"/>
  <c r="AB35" i="3" s="1"/>
  <c r="AB36" i="3" s="1"/>
  <c r="AB37" i="3" s="1"/>
  <c r="AB38" i="3" s="1"/>
  <c r="F51" i="3"/>
  <c r="I60" i="3" s="1"/>
  <c r="J60" i="3" s="1"/>
  <c r="M33" i="3"/>
  <c r="K35" i="3"/>
  <c r="K36" i="3" s="1"/>
  <c r="L36" i="3" s="1"/>
  <c r="M36" i="3" s="1"/>
  <c r="AC9" i="3" l="1"/>
  <c r="AC10" i="3"/>
  <c r="AB3" i="3"/>
  <c r="AH52" i="1" s="1"/>
  <c r="I58" i="3"/>
  <c r="L35" i="3"/>
  <c r="AC11" i="3" l="1"/>
  <c r="M35" i="3"/>
  <c r="M37" i="3" s="1"/>
  <c r="L37" i="3"/>
  <c r="L38" i="3" s="1"/>
  <c r="AC12" i="3" l="1"/>
  <c r="M47" i="3"/>
  <c r="M48" i="3" s="1"/>
  <c r="M49" i="3" s="1"/>
  <c r="F52" i="3"/>
  <c r="AC13" i="3" l="1"/>
  <c r="F54" i="3"/>
  <c r="J61" i="3"/>
  <c r="J58" i="3" s="1"/>
  <c r="AC14" i="3" l="1"/>
  <c r="AC15" i="3" l="1"/>
  <c r="AC16" i="3" l="1"/>
  <c r="AC17" i="3" l="1"/>
  <c r="AC18" i="3" l="1"/>
  <c r="AC19" i="3" l="1"/>
  <c r="AC20" i="3" l="1"/>
  <c r="AC21" i="3" l="1"/>
  <c r="AC22" i="3" l="1"/>
  <c r="AC23" i="3" l="1"/>
  <c r="AC24" i="3" l="1"/>
  <c r="AC25" i="3" l="1"/>
  <c r="AC26" i="3" l="1"/>
  <c r="AC27" i="3" l="1"/>
  <c r="AC28" i="3" l="1"/>
  <c r="AC29" i="3" l="1"/>
  <c r="AC30" i="3" l="1"/>
  <c r="AC31" i="3" l="1"/>
  <c r="AC32" i="3" l="1"/>
  <c r="AC6" i="3" s="1"/>
  <c r="AC33" i="3" l="1"/>
  <c r="Z47" i="3"/>
  <c r="AH58" i="1" s="1"/>
  <c r="AH54" i="1"/>
  <c r="AC34" i="3"/>
  <c r="AC35" i="3" l="1"/>
  <c r="AC36" i="3" l="1"/>
  <c r="AC37" i="3" l="1"/>
  <c r="AC38" i="3" l="1"/>
  <c r="AB6"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Patrick M. Carague</author>
  </authors>
  <commentList>
    <comment ref="C4" authorId="0" shapeId="0" xr:uid="{259D9CAD-2A14-4A1E-B8CC-23C7AE962B58}">
      <text>
        <r>
          <rPr>
            <sz val="9"/>
            <color indexed="81"/>
            <rFont val="Tahoma"/>
            <family val="2"/>
          </rPr>
          <t>AI-validated assumptions</t>
        </r>
      </text>
    </comment>
    <comment ref="D4" authorId="0" shapeId="0" xr:uid="{16ACBCFF-A618-409E-9944-25972BAC6494}">
      <text>
        <r>
          <rPr>
            <sz val="9"/>
            <color indexed="81"/>
            <rFont val="Tahoma"/>
            <family val="2"/>
          </rPr>
          <t>AI-validated assumptions</t>
        </r>
      </text>
    </comment>
    <comment ref="E46" authorId="0" shapeId="0" xr:uid="{B411DD77-2E87-40D4-9012-BADF48F3FB77}">
      <text>
        <r>
          <rPr>
            <sz val="9"/>
            <color indexed="81"/>
            <rFont val="Tahoma"/>
            <family val="2"/>
          </rPr>
          <t>Goes into Solar Labor &amp; Installation</t>
        </r>
      </text>
    </comment>
    <comment ref="E71" authorId="0" shapeId="0" xr:uid="{C104CF63-99F6-476B-84F7-36E0AA3443D0}">
      <text>
        <r>
          <rPr>
            <sz val="9"/>
            <color indexed="81"/>
            <rFont val="Tahoma"/>
            <family val="2"/>
          </rPr>
          <t>Goes into Solar Labor &amp; Installation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Patrick M. Carague</author>
  </authors>
  <commentList>
    <comment ref="A54" authorId="0" shapeId="0" xr:uid="{F4613FC9-8072-40A3-9DDB-DD36CF5A1FAA}">
      <text>
        <r>
          <rPr>
            <sz val="9"/>
            <color indexed="81"/>
            <rFont val="Tahoma"/>
            <family val="2"/>
          </rPr>
          <t>AI-validated assumption</t>
        </r>
      </text>
    </comment>
  </commentList>
</comments>
</file>

<file path=xl/sharedStrings.xml><?xml version="1.0" encoding="utf-8"?>
<sst xmlns="http://schemas.openxmlformats.org/spreadsheetml/2006/main" count="267" uniqueCount="247">
  <si>
    <t>Credit Card Fee</t>
  </si>
  <si>
    <t>Direct Purchase Price</t>
  </si>
  <si>
    <t>Monthly Payment</t>
  </si>
  <si>
    <t>Credit Card for DP?</t>
  </si>
  <si>
    <t>Credit Card for Installment?</t>
  </si>
  <si>
    <r>
      <t>Net Price</t>
    </r>
    <r>
      <rPr>
        <sz val="8"/>
        <color theme="1" tint="0.34998626667073579"/>
        <rFont val="Tahoma"/>
        <family val="2"/>
      </rPr>
      <t xml:space="preserve"> </t>
    </r>
    <r>
      <rPr>
        <sz val="7"/>
        <color theme="1" tint="0.34998626667073579"/>
        <rFont val="Tahoma"/>
        <family val="2"/>
      </rPr>
      <t>(before DP Discount &amp; Credit Card Fees)</t>
    </r>
  </si>
  <si>
    <t>DP Selection List</t>
  </si>
  <si>
    <t>1Mo.FV of DP</t>
  </si>
  <si>
    <t>Post DP PV for Installment</t>
  </si>
  <si>
    <t>Monthly Pmt post-DP</t>
  </si>
  <si>
    <t>Invalid WARNING for Credit Card Use</t>
  </si>
  <si>
    <t>1.0hp AC</t>
  </si>
  <si>
    <t>1.5hp AC</t>
  </si>
  <si>
    <t>2.0hp AC</t>
  </si>
  <si>
    <t>2.5hp AC</t>
  </si>
  <si>
    <t>3.0hp AC</t>
  </si>
  <si>
    <t>Microwave/Toaster</t>
  </si>
  <si>
    <t>6" Stove Burner</t>
  </si>
  <si>
    <t>8" Stove Burner</t>
  </si>
  <si>
    <t>Electric Oven</t>
  </si>
  <si>
    <t>Level-1 EV Charger</t>
  </si>
  <si>
    <t>Level-2 EV Charger</t>
  </si>
  <si>
    <t>Washing Machine</t>
  </si>
  <si>
    <t>Elec Clothes Dryer</t>
  </si>
  <si>
    <t>% of Peak</t>
  </si>
  <si>
    <t>Peak Power</t>
  </si>
  <si>
    <t>Avg Power</t>
  </si>
  <si>
    <t>ON Time</t>
  </si>
  <si>
    <t>OFF Time</t>
  </si>
  <si>
    <t>ON Time:</t>
  </si>
  <si>
    <t>OFF Time:</t>
  </si>
  <si>
    <t>Days/Wk:</t>
  </si>
  <si>
    <t>DayTime Use:</t>
  </si>
  <si>
    <t>NightTime Use:</t>
  </si>
  <si>
    <t>Total Use:</t>
  </si>
  <si>
    <t>DayTime kWh/Mo:</t>
  </si>
  <si>
    <t>NightTime kWh/Mo:</t>
  </si>
  <si>
    <t>Total kWh/Mo:</t>
  </si>
  <si>
    <t>Avg Hourly Consumption:</t>
  </si>
  <si>
    <t>Battery Store for Disharge</t>
  </si>
  <si>
    <t>Meralco Use</t>
  </si>
  <si>
    <t>NetMet Credits Store</t>
  </si>
  <si>
    <t>Time</t>
  </si>
  <si>
    <t>Total Cosumption</t>
  </si>
  <si>
    <t>Solar Energy</t>
  </si>
  <si>
    <t>Solar Coverage of Energy Use *</t>
  </si>
  <si>
    <t>Battery Use</t>
  </si>
  <si>
    <t>Credits Use</t>
  </si>
  <si>
    <t>TOTAL</t>
  </si>
  <si>
    <t>BaseLoad</t>
  </si>
  <si>
    <t>Major Devices</t>
  </si>
  <si>
    <t>Total Load</t>
  </si>
  <si>
    <t>DayTime Use/Mo</t>
  </si>
  <si>
    <t>of Energy Consumption covered by Solar</t>
  </si>
  <si>
    <t>NightTime Use/Mo</t>
  </si>
  <si>
    <t>Total Monthly
Cosumption</t>
  </si>
  <si>
    <t>Selected Solar Package</t>
  </si>
  <si>
    <t>kWh/kWp/Day Radiance Curve</t>
  </si>
  <si>
    <t>kWh per Day</t>
  </si>
  <si>
    <t>No Solar</t>
  </si>
  <si>
    <t>Solar Only</t>
  </si>
  <si>
    <t>Solar w/ Batteries</t>
  </si>
  <si>
    <t>Solar w/ Batteries &amp; Net-Metering</t>
  </si>
  <si>
    <t>Levelized Cost of Energy (LCOE)</t>
  </si>
  <si>
    <t>Years</t>
  </si>
  <si>
    <t>NPV rate</t>
  </si>
  <si>
    <t>Total Energy Produced</t>
  </si>
  <si>
    <t>LCOE</t>
  </si>
  <si>
    <t>Days / Week</t>
  </si>
  <si>
    <t>DayTime kWh</t>
  </si>
  <si>
    <t>NightTime kWh</t>
  </si>
  <si>
    <t>Baseload</t>
  </si>
  <si>
    <t>Est. Monthly Consumption</t>
  </si>
  <si>
    <t>From Listed Devices</t>
  </si>
  <si>
    <t>Day Time</t>
  </si>
  <si>
    <t>Night Time</t>
  </si>
  <si>
    <t>DEVICE</t>
  </si>
  <si>
    <t>COUNT</t>
  </si>
  <si>
    <t>DAYS/Week</t>
  </si>
  <si>
    <t>Panels</t>
  </si>
  <si>
    <t>Add'l. DC CABLE in excess of 30-meters:</t>
  </si>
  <si>
    <t>Add'l. AC CABLE in excess of 10-meters:</t>
  </si>
  <si>
    <t>RSD Selected?</t>
  </si>
  <si>
    <t>None</t>
  </si>
  <si>
    <t>Inverter 1</t>
  </si>
  <si>
    <t>Inverter 2</t>
  </si>
  <si>
    <t>Mounting Support as % of Panels Price</t>
  </si>
  <si>
    <t>Minimum Mounting Support Price</t>
  </si>
  <si>
    <t>Mounting Support</t>
  </si>
  <si>
    <t>Direct Purchase Price per Panel</t>
  </si>
  <si>
    <t>Add'l DC Cable in excess of 30m</t>
  </si>
  <si>
    <t>Add'l AC Cable in excess of 10m</t>
  </si>
  <si>
    <t>Add'l Delivery &gt;30km from Rizal Park Fixed Fee</t>
  </si>
  <si>
    <t>Add'l Delivery &gt;30km from Rizal Park per Km Charge</t>
  </si>
  <si>
    <t>DirectPurchPHP</t>
  </si>
  <si>
    <t>60-Mo.RTO</t>
  </si>
  <si>
    <t>Cables, Conduits, Fittings, Panel Board &amp; Other Devices</t>
  </si>
  <si>
    <t>Battery Pack</t>
  </si>
  <si>
    <t>Battery Rack (3-Battery Capacity)</t>
  </si>
  <si>
    <t>Automatic Transfer Switch (ATS)</t>
  </si>
  <si>
    <t>Materials for Critical Loads</t>
  </si>
  <si>
    <t>Batteries?</t>
  </si>
  <si>
    <t>Solar Labor &amp; Installation</t>
  </si>
  <si>
    <t>RSD Variable Price per Panel</t>
  </si>
  <si>
    <t>RSD Fixed Price (Transmitter)</t>
  </si>
  <si>
    <t>Standalone RSD order for existing:</t>
  </si>
  <si>
    <t>Labor &amp; Installation for Standalone RSD order</t>
  </si>
  <si>
    <t>Mobilization for StandAlone Inverter Order</t>
  </si>
  <si>
    <t>Delivery &amp; Logistics</t>
  </si>
  <si>
    <t>Warehouse Cost</t>
  </si>
  <si>
    <t>Customs Clearance</t>
  </si>
  <si>
    <t>Safety and Supervision</t>
  </si>
  <si>
    <t>Testing and Commissioning</t>
  </si>
  <si>
    <t>TOTAL OTHERS</t>
  </si>
  <si>
    <t>5kW Pylontech Battery w/ Cables &amp; Lugs</t>
  </si>
  <si>
    <t>Desription</t>
  </si>
  <si>
    <t>Direct Purchase Price per Unit/Lot</t>
  </si>
  <si>
    <t>Total Direct Purchase Price</t>
  </si>
  <si>
    <t>Total 60-Mo.RTO Price</t>
  </si>
  <si>
    <t>Unit/Lot
Count</t>
  </si>
  <si>
    <r>
      <t xml:space="preserve">60-Mo.RTO Price </t>
    </r>
    <r>
      <rPr>
        <sz val="8"/>
        <color theme="1" tint="0.249977111117893"/>
        <rFont val="Wingdings"/>
        <charset val="2"/>
      </rPr>
      <t>ê</t>
    </r>
  </si>
  <si>
    <r>
      <t>Std. 60-Mo.Term Package Price</t>
    </r>
    <r>
      <rPr>
        <sz val="8"/>
        <color theme="1" tint="0.499984740745262"/>
        <rFont val="Tahoma"/>
        <family val="2"/>
      </rPr>
      <t xml:space="preserve"> </t>
    </r>
    <r>
      <rPr>
        <sz val="7"/>
        <color theme="1" tint="0.249977111117893"/>
        <rFont val="Tahoma"/>
        <family val="2"/>
      </rPr>
      <t>(Total from STEP-2)</t>
    </r>
  </si>
  <si>
    <t>for VLOOKUP</t>
  </si>
  <si>
    <t>for Price Calc</t>
  </si>
  <si>
    <t>Battery Standalone Labor &amp; Installation</t>
  </si>
  <si>
    <r>
      <rPr>
        <b/>
        <sz val="8"/>
        <color theme="5" tint="-0.249977111117893"/>
        <rFont val="Tahoma"/>
        <family val="2"/>
      </rPr>
      <t>Direct Purchase Price</t>
    </r>
    <r>
      <rPr>
        <sz val="8"/>
        <color theme="5" tint="-0.249977111117893"/>
        <rFont val="Tahoma"/>
        <family val="2"/>
      </rPr>
      <t xml:space="preserve">
</t>
    </r>
    <r>
      <rPr>
        <i/>
        <sz val="8"/>
        <color theme="5" tint="-0.249977111117893"/>
        <rFont val="Tahoma"/>
        <family val="2"/>
      </rPr>
      <t>for Review Purposes Only</t>
    </r>
  </si>
  <si>
    <t>AC/DC Cables, Conduits, Fittings, Panel Board &amp; Other Devices as a % of Panels Price</t>
  </si>
  <si>
    <t>DC CABLING</t>
  </si>
  <si>
    <t>AC CABLING</t>
  </si>
  <si>
    <t>CONDUITS &amp; FITTINGS</t>
  </si>
  <si>
    <t>PANEL BOARD &amp; PROTECTIVE DEVICES</t>
  </si>
  <si>
    <t>FIXED OVERHEAD CHARGES</t>
  </si>
  <si>
    <t>VARIABLE Solar Labor &amp; Installation per kWp</t>
  </si>
  <si>
    <t>INVERTERS (+ WiFi Dongle)</t>
  </si>
  <si>
    <r>
      <rPr>
        <sz val="11"/>
        <color theme="9" tint="-0.249977111117893"/>
        <rFont val="Tahoma"/>
        <family val="2"/>
      </rPr>
      <t>2A:</t>
    </r>
    <r>
      <rPr>
        <sz val="9"/>
        <color theme="9" tint="-0.249977111117893"/>
        <rFont val="Tahoma"/>
        <family val="2"/>
      </rPr>
      <t xml:space="preserve">  Select your SOLAR PACKAGE</t>
    </r>
  </si>
  <si>
    <r>
      <rPr>
        <sz val="11"/>
        <color theme="9" tint="-0.249977111117893"/>
        <rFont val="Tahoma"/>
        <family val="2"/>
      </rPr>
      <t>2D:</t>
    </r>
    <r>
      <rPr>
        <sz val="9"/>
        <color theme="9" tint="-0.249977111117893"/>
        <rFont val="Tahoma"/>
        <family val="2"/>
      </rPr>
      <t xml:space="preserve">  Add a BATTERY PACKAGE</t>
    </r>
  </si>
  <si>
    <r>
      <rPr>
        <sz val="11"/>
        <color theme="9" tint="-0.249977111117893"/>
        <rFont val="Tahoma"/>
        <family val="2"/>
      </rPr>
      <t>3C:</t>
    </r>
    <r>
      <rPr>
        <sz val="9"/>
        <color theme="9" tint="-0.249977111117893"/>
        <rFont val="Tahoma"/>
        <family val="2"/>
      </rPr>
      <t xml:space="preserve">  Review you Post-Installation BALANCE</t>
    </r>
  </si>
  <si>
    <t>Post-Installation Credit Card Pmt available only for 1, 12, 24, &amp; 36 Months.</t>
  </si>
  <si>
    <r>
      <rPr>
        <sz val="11"/>
        <color theme="9" tint="-0.249977111117893"/>
        <rFont val="Tahoma"/>
        <family val="2"/>
      </rPr>
      <t>1A:</t>
    </r>
    <r>
      <rPr>
        <sz val="9"/>
        <color theme="9" tint="-0.249977111117893"/>
        <rFont val="Tahoma"/>
        <family val="2"/>
      </rPr>
      <t xml:space="preserve">  Enter your Name, Email, and Mobile Number:</t>
    </r>
  </si>
  <si>
    <t>Mobile:</t>
  </si>
  <si>
    <t>Name:</t>
  </si>
  <si>
    <t>Email:</t>
  </si>
  <si>
    <t>0917-867-5309</t>
  </si>
  <si>
    <r>
      <rPr>
        <sz val="11"/>
        <color theme="9" tint="-0.249977111117893"/>
        <rFont val="Tahoma"/>
        <family val="2"/>
      </rPr>
      <t>1D:</t>
    </r>
    <r>
      <rPr>
        <sz val="9"/>
        <color theme="9" tint="-0.249977111117893"/>
        <rFont val="Tahoma"/>
        <family val="2"/>
      </rPr>
      <t xml:space="preserve">  Identify Devices that may affect your DAY vs. NIGHT use distribution.</t>
    </r>
  </si>
  <si>
    <r>
      <rPr>
        <sz val="11"/>
        <color theme="9" tint="-0.249977111117893"/>
        <rFont val="Tahoma"/>
        <family val="2"/>
      </rPr>
      <t>2E:</t>
    </r>
    <r>
      <rPr>
        <sz val="9"/>
        <color theme="9" tint="-0.249977111117893"/>
        <rFont val="Tahoma"/>
        <family val="2"/>
      </rPr>
      <t xml:space="preserve">  Add MISCELLANEOUS MATERIALS, LABOR &amp; OTHER SERVICES</t>
    </r>
  </si>
  <si>
    <t>SCHEDULE</t>
  </si>
  <si>
    <t>kWh per kWp per Day</t>
  </si>
  <si>
    <t>Battery Efficiency</t>
  </si>
  <si>
    <t>Allowable Depth of Discharge</t>
  </si>
  <si>
    <t>Solar Panel Annual Degradation</t>
  </si>
  <si>
    <t>LCOE Cost NPV Discount Rate</t>
  </si>
  <si>
    <t>LCOE NPV Rate</t>
  </si>
  <si>
    <t>PARTNER DISCOUNTS</t>
  </si>
  <si>
    <t>Solviva Partner</t>
  </si>
  <si>
    <t>UnionBank</t>
  </si>
  <si>
    <t>EastWest Bank</t>
  </si>
  <si>
    <t>Senior Citizen</t>
  </si>
  <si>
    <t>STEP-2 TOTAL less DISCOUNT</t>
  </si>
  <si>
    <t>Promo Code:</t>
  </si>
  <si>
    <t>SOLV</t>
  </si>
  <si>
    <t>UBPC</t>
  </si>
  <si>
    <t>EWBC</t>
  </si>
  <si>
    <t>SENIOR</t>
  </si>
  <si>
    <t>Rated AC Power</t>
  </si>
  <si>
    <t>after Battery</t>
  </si>
  <si>
    <t>after Batt&amp;NM</t>
  </si>
  <si>
    <t>Meralco Savings per Day w/ Battery</t>
  </si>
  <si>
    <t>Meralco Savings per Day w/ Battery &amp; NM</t>
  </si>
  <si>
    <t>Meralco Savings per Month w/ Battery</t>
  </si>
  <si>
    <t>Meralco Savings per Month w/ Battery &amp; NM</t>
  </si>
  <si>
    <t>Net-Metering Efficiency</t>
  </si>
  <si>
    <r>
      <rPr>
        <sz val="11"/>
        <color theme="9" tint="-0.249977111117893"/>
        <rFont val="Tahoma"/>
        <family val="2"/>
      </rPr>
      <t>3B:</t>
    </r>
    <r>
      <rPr>
        <sz val="9"/>
        <color theme="9" tint="-0.249977111117893"/>
        <rFont val="Tahoma"/>
        <family val="2"/>
      </rPr>
      <t xml:space="preserve">  Select your Pre-Installation DOWN PMT </t>
    </r>
    <r>
      <rPr>
        <sz val="9"/>
        <color theme="9" tint="-0.249977111117893"/>
        <rFont val="Wingdings"/>
        <charset val="2"/>
      </rPr>
      <t>è</t>
    </r>
  </si>
  <si>
    <t>Discount</t>
  </si>
  <si>
    <t>Calculate w/ Net Metering</t>
  </si>
  <si>
    <t>MATT CHO SY</t>
  </si>
  <si>
    <t>pat@seksipa.com</t>
  </si>
  <si>
    <r>
      <rPr>
        <sz val="11"/>
        <color theme="9" tint="-0.249977111117893"/>
        <rFont val="Tahoma"/>
        <family val="2"/>
      </rPr>
      <t>2B:</t>
    </r>
    <r>
      <rPr>
        <sz val="9"/>
        <color theme="9" tint="-0.249977111117893"/>
        <rFont val="Tahoma"/>
        <family val="2"/>
      </rPr>
      <t xml:space="preserve">  Add RAPID SHUTDOWN DEVICE (RSD)</t>
    </r>
    <r>
      <rPr>
        <sz val="9"/>
        <color theme="5"/>
        <rFont val="Tahoma"/>
        <family val="2"/>
      </rPr>
      <t xml:space="preserve"> - Recommended for SAFETY</t>
    </r>
  </si>
  <si>
    <r>
      <rPr>
        <b/>
        <sz val="8"/>
        <color theme="5" tint="-0.249977111117893"/>
        <rFont val="Tahoma"/>
        <family val="2"/>
      </rPr>
      <t xml:space="preserve">DISCLAIMER: </t>
    </r>
    <r>
      <rPr>
        <sz val="8"/>
        <color theme="1" tint="0.249977111117893"/>
        <rFont val="Tahoma"/>
        <family val="2"/>
      </rPr>
      <t>The chart above and estimated Internal Rate of Return (IRR) are based on projected energy cost savings from the installation of a solar photovoltaic system under current electricity tariffs, consumption patterns, and regulatory conditions in the Philippines. Actual results may vary due to changes in electricity rates, system performance, weather conditions, maintenance costs, government policies, and other factors beyond control. This estimate is for illustrative purposes only and does not constitute a guarantee of future financial performance.</t>
    </r>
  </si>
  <si>
    <t>DayTime Hrs/Mo</t>
  </si>
  <si>
    <t>NightTime Hrs/Mo</t>
  </si>
  <si>
    <t>AGENT INSTRUCTIONS:</t>
  </si>
  <si>
    <t>Jan Casino</t>
  </si>
  <si>
    <t>Jan.Casino@SolvivaEnergy.com</t>
  </si>
  <si>
    <t>Phone:</t>
  </si>
  <si>
    <t>+63-917-867-5309</t>
  </si>
  <si>
    <r>
      <t xml:space="preserve">2) Select all cells, and choose </t>
    </r>
    <r>
      <rPr>
        <sz val="14"/>
        <rFont val="Aptos Narrow"/>
        <family val="2"/>
        <scheme val="minor"/>
      </rPr>
      <t>WHITE</t>
    </r>
    <r>
      <rPr>
        <sz val="11"/>
        <rFont val="Aptos Narrow"/>
        <family val="2"/>
        <scheme val="minor"/>
      </rPr>
      <t xml:space="preserve"> </t>
    </r>
    <r>
      <rPr>
        <b/>
        <sz val="14"/>
        <rFont val="Aptos Narrow"/>
        <family val="2"/>
        <scheme val="minor"/>
      </rPr>
      <t>Font Color</t>
    </r>
    <r>
      <rPr>
        <sz val="11"/>
        <rFont val="Aptos Narrow"/>
        <family val="2"/>
        <scheme val="minor"/>
      </rPr>
      <t>.</t>
    </r>
  </si>
  <si>
    <r>
      <t xml:space="preserve">3) Click on the </t>
    </r>
    <r>
      <rPr>
        <b/>
        <sz val="14"/>
        <rFont val="Aptos Narrow"/>
        <family val="2"/>
        <scheme val="minor"/>
      </rPr>
      <t>Review</t>
    </r>
    <r>
      <rPr>
        <sz val="11"/>
        <rFont val="Aptos Narrow"/>
        <family val="2"/>
        <scheme val="minor"/>
      </rPr>
      <t xml:space="preserve"> tab, and </t>
    </r>
    <r>
      <rPr>
        <b/>
        <sz val="14"/>
        <rFont val="Aptos Narrow"/>
        <family val="2"/>
        <scheme val="minor"/>
      </rPr>
      <t>Protect Sheet</t>
    </r>
    <r>
      <rPr>
        <sz val="11"/>
        <rFont val="Aptos Narrow"/>
        <family val="2"/>
        <scheme val="minor"/>
      </rPr>
      <t xml:space="preserve">.  </t>
    </r>
  </si>
  <si>
    <r>
      <t xml:space="preserve">4) Protect this workseet using your own </t>
    </r>
    <r>
      <rPr>
        <b/>
        <sz val="14"/>
        <rFont val="Aptos Narrow"/>
        <family val="2"/>
        <scheme val="minor"/>
      </rPr>
      <t>password</t>
    </r>
    <r>
      <rPr>
        <sz val="11"/>
        <rFont val="Aptos Narrow"/>
        <family val="2"/>
        <scheme val="minor"/>
      </rPr>
      <t>, so this calculator becomes yours and yours alone.</t>
    </r>
  </si>
  <si>
    <r>
      <rPr>
        <b/>
        <sz val="8"/>
        <color theme="5" tint="-0.249977111117893"/>
        <rFont val="Tahoma"/>
        <family val="2"/>
      </rPr>
      <t>CFEI Applications and Net Metering Conversions</t>
    </r>
    <r>
      <rPr>
        <sz val="8"/>
        <color theme="1" tint="0.249977111117893"/>
        <rFont val="Tahoma"/>
        <family val="2"/>
      </rPr>
      <t xml:space="preserve">
Solviva Energy does not provide facilitation, processing, or representation services for Certificate of Final Electrical Inspection (CFEI) applications or Net Metering conversions. The Client acknowledges that issuance of the CFEI is a prerequisite to the processing and approval of Net Metering applications.
Any referral by Solviva Energy to third-party service providers is made solely as a courtesy and shall not be construed as an endorsement, representation, or warranty of such providers’ qualifications, performance, or results.
The Client acknowledges that any engagement with third-party providers shall be at the Client’s sole risk and expense. Solviva Energy shall have no liability for any act, omission, delay, deficiency, or failure of such third parties. Any resulting delays, costs, or unsuccessful outcomes shall not relieve the Client of its obligation to make full and timely payments under this Agreement, nor shall they constitute grounds for withholding, offsetting, or disputing any amounts due.
The Client further acknowledges that all timelines, requirements, and costs associated with CFEI applications are determined by the relevant Local Government Units (LGUs), and those associated with Net Metering conversions are determined by the applicable electric utility provider. Solviva Energy makes no representations or warranties, express or implied, regarding the duration, outcome, or cost of such processes.</t>
    </r>
  </si>
  <si>
    <t>Rec'mended:</t>
  </si>
  <si>
    <t>Batt for Night Time</t>
  </si>
  <si>
    <t>Daily Capacity Req'd.</t>
  </si>
  <si>
    <t>Desired Savings from Distribution Utility</t>
  </si>
  <si>
    <t>Valid for Post-Install Credit Card?</t>
  </si>
  <si>
    <t>AC Inverter</t>
  </si>
  <si>
    <t>DC/AC</t>
  </si>
  <si>
    <t>Inverter 3</t>
  </si>
  <si>
    <t>Inverter Total</t>
  </si>
  <si>
    <t>Rated kW</t>
  </si>
  <si>
    <t>Base RTO Interest Rate</t>
  </si>
  <si>
    <t>Calculator RTO Interest Rate</t>
  </si>
  <si>
    <t>DC:AC Ratio Maximum</t>
  </si>
  <si>
    <t>Down Payment Amount</t>
  </si>
  <si>
    <t>Post-Installation</t>
  </si>
  <si>
    <t>Payment</t>
  </si>
  <si>
    <t>Term</t>
  </si>
  <si>
    <t>YOUR TOTAL AMOUNT DUE:</t>
  </si>
  <si>
    <t>Daily Avg. Major Devices Load</t>
  </si>
  <si>
    <t>Daily Avg. Base Energy Load</t>
  </si>
  <si>
    <r>
      <rPr>
        <sz val="11"/>
        <color theme="9" tint="-0.249977111117893"/>
        <rFont val="Tahoma"/>
        <family val="2"/>
      </rPr>
      <t>1B:</t>
    </r>
    <r>
      <rPr>
        <sz val="9"/>
        <color theme="9" tint="-0.249977111117893"/>
        <rFont val="Tahoma"/>
        <family val="2"/>
      </rPr>
      <t xml:space="preserve">  Enter your AVG. </t>
    </r>
    <r>
      <rPr>
        <b/>
        <sz val="9"/>
        <color theme="5"/>
        <rFont val="Tahoma"/>
        <family val="2"/>
      </rPr>
      <t>ELECTRIC</t>
    </r>
    <r>
      <rPr>
        <sz val="9"/>
        <color theme="9" tint="-0.249977111117893"/>
        <rFont val="Tahoma"/>
        <family val="2"/>
      </rPr>
      <t xml:space="preserve"> UTILITY RATE per kWh </t>
    </r>
    <r>
      <rPr>
        <sz val="9"/>
        <color theme="9" tint="-0.249977111117893"/>
        <rFont val="Wingdings"/>
        <charset val="2"/>
      </rPr>
      <t>è</t>
    </r>
  </si>
  <si>
    <r>
      <rPr>
        <sz val="11"/>
        <color theme="9" tint="-0.249977111117893"/>
        <rFont val="Tahoma"/>
        <family val="2"/>
      </rPr>
      <t>1C:</t>
    </r>
    <r>
      <rPr>
        <sz val="9"/>
        <color theme="9" tint="-0.249977111117893"/>
        <rFont val="Tahoma"/>
        <family val="2"/>
      </rPr>
      <t xml:space="preserve">  Enter your AVG. </t>
    </r>
    <r>
      <rPr>
        <b/>
        <sz val="9"/>
        <color theme="5"/>
        <rFont val="Tahoma"/>
        <family val="2"/>
      </rPr>
      <t>ELECTRIC</t>
    </r>
    <r>
      <rPr>
        <sz val="9"/>
        <color theme="9" tint="-0.249977111117893"/>
        <rFont val="Tahoma"/>
        <family val="2"/>
      </rPr>
      <t xml:space="preserve"> UTILITY BILL </t>
    </r>
    <r>
      <rPr>
        <sz val="9"/>
        <color theme="9" tint="-0.249977111117893"/>
        <rFont val="Wingdings"/>
        <charset val="2"/>
      </rPr>
      <t>è</t>
    </r>
  </si>
  <si>
    <t>Solar Panel Capacity</t>
  </si>
  <si>
    <t>Risk Premium for solar packages less than</t>
  </si>
  <si>
    <t>Promo Code</t>
  </si>
  <si>
    <t>Inverter StandAlone Labor &amp; Install VARIABLE per Unit</t>
  </si>
  <si>
    <t>Inverter StandAlone Labor &amp; Install FIXED Mobilization</t>
  </si>
  <si>
    <t>RSD StandAlone Labor &amp; Install VARIABLE charge per Panel</t>
  </si>
  <si>
    <t>RSD StandAlone Labor &amp; Install FIXED Mobilization Charge</t>
  </si>
  <si>
    <t>Battery Labor &amp; Installation w/ Solar Package Installation</t>
  </si>
  <si>
    <t>DEVICES</t>
  </si>
  <si>
    <t>SOLAR PANELS</t>
  </si>
  <si>
    <t>Preventive Maintenance VARIABLE Charge per Panel</t>
  </si>
  <si>
    <t>Preventive Maintenance FIXED Charge per Visit</t>
  </si>
  <si>
    <r>
      <t xml:space="preserve">Selected </t>
    </r>
    <r>
      <rPr>
        <sz val="8"/>
        <color theme="9" tint="-0.249977111117893"/>
        <rFont val="Wingdings"/>
        <charset val="2"/>
      </rPr>
      <t>è</t>
    </r>
  </si>
  <si>
    <r>
      <rPr>
        <sz val="11"/>
        <color theme="9" tint="-0.249977111117893"/>
        <rFont val="Tahoma"/>
        <family val="2"/>
      </rPr>
      <t>3A:</t>
    </r>
    <r>
      <rPr>
        <sz val="9"/>
        <color theme="9" tint="-0.249977111117893"/>
        <rFont val="Tahoma"/>
        <family val="2"/>
      </rPr>
      <t xml:space="preserve">  Enter your PAYMENT TENOR (1-60) </t>
    </r>
    <r>
      <rPr>
        <sz val="9"/>
        <color theme="9" tint="-0.249977111117893"/>
        <rFont val="Wingdings"/>
        <charset val="2"/>
      </rPr>
      <t>è</t>
    </r>
  </si>
  <si>
    <r>
      <t>STEP-</t>
    </r>
    <r>
      <rPr>
        <sz val="18"/>
        <color theme="9" tint="-0.249977111117893"/>
        <rFont val="Tahoma"/>
        <family val="2"/>
      </rPr>
      <t>3</t>
    </r>
    <r>
      <rPr>
        <sz val="12"/>
        <color theme="9" tint="-0.249977111117893"/>
        <rFont val="Tahoma"/>
        <family val="2"/>
      </rPr>
      <t>: DEFINE YOUR PAYMENT TERM</t>
    </r>
  </si>
  <si>
    <r>
      <t>STEP-</t>
    </r>
    <r>
      <rPr>
        <sz val="18"/>
        <color theme="9" tint="-0.249977111117893"/>
        <rFont val="Tahoma"/>
        <family val="2"/>
      </rPr>
      <t>2</t>
    </r>
    <r>
      <rPr>
        <sz val="12"/>
        <color theme="9" tint="-0.249977111117893"/>
        <rFont val="Tahoma"/>
        <family val="2"/>
      </rPr>
      <t>: SELECT YOUR SOLVIVA PACKAGES</t>
    </r>
  </si>
  <si>
    <r>
      <t>STEP-</t>
    </r>
    <r>
      <rPr>
        <sz val="18"/>
        <color theme="9" tint="-0.249977111117893"/>
        <rFont val="Tahoma"/>
        <family val="2"/>
      </rPr>
      <t>1</t>
    </r>
    <r>
      <rPr>
        <sz val="12"/>
        <color theme="9" tint="-0.249977111117893"/>
        <rFont val="Tahoma"/>
        <family val="2"/>
      </rPr>
      <t>: TELL US ABOUT YOUR CONSUMPTION</t>
    </r>
  </si>
  <si>
    <r>
      <t>STEP-</t>
    </r>
    <r>
      <rPr>
        <sz val="18"/>
        <color theme="9" tint="-0.249977111117893"/>
        <rFont val="Tahoma"/>
        <family val="2"/>
      </rPr>
      <t>4</t>
    </r>
    <r>
      <rPr>
        <sz val="12"/>
        <color theme="9" tint="-0.249977111117893"/>
        <rFont val="Tahoma"/>
        <family val="2"/>
      </rPr>
      <t>: REVIEW YOUR INVESTMENT RETURNS!</t>
    </r>
  </si>
  <si>
    <t>Solar Investment IRR over</t>
  </si>
  <si>
    <t>IRR Period</t>
  </si>
  <si>
    <t>Cash Flow Schedule</t>
  </si>
  <si>
    <t>Year</t>
  </si>
  <si>
    <t>Net CF</t>
  </si>
  <si>
    <t>Maint Cost</t>
  </si>
  <si>
    <t>DU Savings</t>
  </si>
  <si>
    <t>Inv. Pmts</t>
  </si>
  <si>
    <t>TOTAL&gt;&gt;</t>
  </si>
  <si>
    <t>Simple Payback Period</t>
  </si>
  <si>
    <t>Total Cost</t>
  </si>
  <si>
    <t>PV of Acq. &amp; Maint. Cost</t>
  </si>
  <si>
    <r>
      <t xml:space="preserve">1) Update your </t>
    </r>
    <r>
      <rPr>
        <b/>
        <sz val="14"/>
        <rFont val="Aptos Narrow"/>
        <family val="2"/>
        <scheme val="minor"/>
      </rPr>
      <t>name</t>
    </r>
    <r>
      <rPr>
        <sz val="11"/>
        <rFont val="Aptos Narrow"/>
        <family val="2"/>
        <scheme val="minor"/>
      </rPr>
      <t xml:space="preserve">, </t>
    </r>
    <r>
      <rPr>
        <b/>
        <sz val="14"/>
        <rFont val="Aptos Narrow"/>
        <family val="2"/>
        <scheme val="minor"/>
      </rPr>
      <t>email</t>
    </r>
    <r>
      <rPr>
        <sz val="11"/>
        <rFont val="Aptos Narrow"/>
        <family val="2"/>
        <scheme val="minor"/>
      </rPr>
      <t>, and</t>
    </r>
    <r>
      <rPr>
        <sz val="14"/>
        <rFont val="Aptos Narrow"/>
        <family val="2"/>
        <scheme val="minor"/>
      </rPr>
      <t xml:space="preserve"> </t>
    </r>
    <r>
      <rPr>
        <b/>
        <sz val="14"/>
        <rFont val="Aptos Narrow"/>
        <family val="2"/>
        <scheme val="minor"/>
      </rPr>
      <t>phone number</t>
    </r>
    <r>
      <rPr>
        <sz val="11"/>
        <rFont val="Aptos Narrow"/>
        <family val="2"/>
        <scheme val="minor"/>
      </rPr>
      <t xml:space="preserve"> below.</t>
    </r>
  </si>
  <si>
    <t>Inflation rate for Maintenance Cost</t>
  </si>
  <si>
    <r>
      <rPr>
        <b/>
        <sz val="8"/>
        <color theme="9" tint="-0.249977111117893"/>
        <rFont val="Tahoma"/>
        <family val="2"/>
      </rPr>
      <t>Simple Payback Period</t>
    </r>
    <r>
      <rPr>
        <sz val="8"/>
        <color theme="1" tint="0.249977111117893"/>
        <rFont val="Tahoma"/>
        <family val="2"/>
      </rPr>
      <t xml:space="preserve"> excludes Time Value of Money discounting, which means future payments are not discounted to present value — resulting in a longer, more conservative payback period. It factors in the expected inflation rate on preventive maintenance costs and the annual reduction in solar yield from panel degradation.
</t>
    </r>
    <r>
      <rPr>
        <b/>
        <sz val="8"/>
        <color theme="9" tint="-0.249977111117893"/>
        <rFont val="Tahoma"/>
        <family val="2"/>
      </rPr>
      <t>Solar Investment IRR (Internal Rate of Return)</t>
    </r>
    <r>
      <rPr>
        <sz val="8"/>
        <color theme="1" tint="0.249977111117893"/>
        <rFont val="Tahoma"/>
        <family val="2"/>
      </rPr>
      <t xml:space="preserve"> is the annualized return on your solar investment — useful for benchmarking against other instruments such as Time Deposits or equities.
</t>
    </r>
    <r>
      <rPr>
        <b/>
        <sz val="8"/>
        <color theme="9" tint="-0.249977111117893"/>
        <rFont val="Tahoma"/>
        <family val="2"/>
      </rPr>
      <t>Levelized Cost of Energy (LCOE)</t>
    </r>
    <r>
      <rPr>
        <sz val="8"/>
        <color theme="1" tint="0.249977111117893"/>
        <rFont val="Tahoma"/>
        <family val="2"/>
      </rPr>
      <t xml:space="preserve"> applies a cost of funds discount rate and accounts for both purchase payments and expected maintenance costs over the selected period. Energy output is adjusted for the annual yield reduction due to panel degradation.
</t>
    </r>
    <r>
      <rPr>
        <b/>
        <sz val="8"/>
        <color theme="9" tint="-0.249977111117893"/>
        <rFont val="Tahoma"/>
        <family val="2"/>
      </rPr>
      <t>Distribution Utility (DU) Savings</t>
    </r>
    <r>
      <rPr>
        <sz val="8"/>
        <color theme="1" tint="0.249977111117893"/>
        <rFont val="Tahoma"/>
        <family val="2"/>
      </rPr>
      <t xml:space="preserve"> reflect cumulative savings against grid electricity costs over the selected period, adjusted for the annual reduction in solar yield due to panel degradation.
</t>
    </r>
    <r>
      <rPr>
        <b/>
        <sz val="8"/>
        <color theme="9" tint="-0.249977111117893"/>
        <rFont val="Tahoma"/>
        <family val="2"/>
      </rPr>
      <t>A note on DU tariff assumptions:</t>
    </r>
    <r>
      <rPr>
        <sz val="8"/>
        <color theme="1" tint="0.249977111117893"/>
        <rFont val="Tahoma"/>
        <family val="2"/>
      </rPr>
      <t xml:space="preserve"> All figures above assume DU electricity tariff rates remain flat over the selected period. This is a conservative assumption — </t>
    </r>
    <r>
      <rPr>
        <sz val="8"/>
        <color theme="5" tint="-0.249977111117893"/>
        <rFont val="Tahoma"/>
        <family val="2"/>
      </rPr>
      <t>actual payback, IRR, and savings may be more favorable if rates increase, as they have historically</t>
    </r>
    <r>
      <rPr>
        <sz val="8"/>
        <color theme="1" tint="0.249977111117893"/>
        <rFont val="Tahoma"/>
        <family val="2"/>
      </rPr>
      <t>.</t>
    </r>
  </si>
  <si>
    <r>
      <rPr>
        <sz val="11"/>
        <color theme="9" tint="-0.249977111117893"/>
        <rFont val="Tahoma"/>
        <family val="2"/>
      </rPr>
      <t>2C:</t>
    </r>
    <r>
      <rPr>
        <sz val="9"/>
        <color theme="9" tint="-0.249977111117893"/>
        <rFont val="Tahoma"/>
        <family val="2"/>
      </rPr>
      <t xml:space="preserve">  Select your INVERTER/S.</t>
    </r>
    <r>
      <rPr>
        <sz val="8"/>
        <color theme="1" tint="0.249977111117893"/>
        <rFont val="Tahoma"/>
        <family val="2"/>
      </rPr>
      <t xml:space="preserve"> Solviva uses only BNEF Tier-1 Inverters.</t>
    </r>
  </si>
  <si>
    <t>Today's Date:</t>
  </si>
  <si>
    <t>Valid Until: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</si>
</sst>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6" formatCode="&quot;₱&quot;#,##0;[Red]\-&quot;₱&quot;#,##0"/>
    <numFmt numFmtId="8" formatCode="&quot;₱&quot;#,##0.00;[Red]\-&quot;₱&quot;#,##0.00"/>
    <numFmt numFmtId="42" formatCode="_-&quot;₱&quot;* #,##0_-;\-&quot;₱&quot;* #,##0_-;_-&quot;₱&quot;* &quot;-&quot;_-;_-@_-"/>
    <numFmt numFmtId="41" formatCode="_-* #,##0_-;\-* #,##0_-;_-* &quot;-&quot;_-;_-@_-"/>
    <numFmt numFmtId="43" formatCode="_-* #,##0.00_-;\-* #,##0.00_-;_-* &quot;-&quot;??_-;_-@_-"/>
    <numFmt numFmtId="164" formatCode="0&quot;-Months&quot;"/>
    <numFmt numFmtId="165" formatCode="_-&quot;₱&quot;* #,##0_-;\-&quot;₱&quot;* #,##0_-;_-&quot;₱&quot;* &quot;-&quot;??_-;_-@_-"/>
    <numFmt numFmtId="166" formatCode="_-* #,##0_-;\-* #,##0_-;_-* &quot;-&quot;??_-;_-@_-"/>
    <numFmt numFmtId="167" formatCode="0.00&quot; kW&quot;"/>
    <numFmt numFmtId="168" formatCode="&quot;₱&quot;#,##0.00"/>
    <numFmt numFmtId="169" formatCode="&quot;₱&quot;#,##0"/>
    <numFmt numFmtId="170" formatCode="0&quot;-hrs.&quot;"/>
    <numFmt numFmtId="171" formatCode="0&quot; kWh&quot;"/>
    <numFmt numFmtId="172" formatCode="0.0&quot; kWh&quot;"/>
    <numFmt numFmtId="173" formatCode="0.0000&quot; kWh&quot;"/>
    <numFmt numFmtId="174" formatCode="0.0&quot; kW&quot;"/>
    <numFmt numFmtId="175" formatCode="&quot;Device-&quot;0"/>
    <numFmt numFmtId="176" formatCode="h\ AM/PM"/>
    <numFmt numFmtId="177" formatCode="#,##0.0&quot; kW&quot;"/>
    <numFmt numFmtId="178" formatCode="#,##0&quot; kWh&quot;"/>
    <numFmt numFmtId="179" formatCode="0.00&quot; kWp&quot;"/>
    <numFmt numFmtId="180" formatCode="0.00&quot; kWh&quot;"/>
    <numFmt numFmtId="181" formatCode="0.0000%"/>
    <numFmt numFmtId="182" formatCode="&quot;₱&quot;#,##0.00&quot;/kWh&quot;"/>
    <numFmt numFmtId="183" formatCode="0&quot;-Day&quot;"/>
    <numFmt numFmtId="184" formatCode="0&quot;-Days&quot;"/>
    <numFmt numFmtId="185" formatCode="0.0000"/>
    <numFmt numFmtId="186" formatCode="#,##0.0&quot; kWp&quot;"/>
    <numFmt numFmtId="187" formatCode="0&quot; meters&quot;"/>
    <numFmt numFmtId="188" formatCode="0&quot; Panels&quot;"/>
    <numFmt numFmtId="189" formatCode="0&quot; Panel&quot;"/>
    <numFmt numFmtId="190" formatCode="0&quot; Panel/s&quot;"/>
    <numFmt numFmtId="191" formatCode="0&quot; Watts&quot;"/>
    <numFmt numFmtId="192" formatCode="0.0%"/>
    <numFmt numFmtId="193" formatCode="&quot;Recommended: &quot;0&quot; kWh&quot;"/>
    <numFmt numFmtId="194" formatCode="#,##0.0&quot; kWh&quot;"/>
    <numFmt numFmtId="195" formatCode="0&quot; Panels w/Batteries&quot;"/>
    <numFmt numFmtId="196" formatCode="&quot;~&quot;0%&quot; Savings&quot;"/>
    <numFmt numFmtId="197" formatCode="0%&quot; Savings&quot;"/>
    <numFmt numFmtId="198" formatCode="&quot;~&quot;0%"/>
    <numFmt numFmtId="199" formatCode="#,##0.00_ ;\-#,##0.00\ "/>
    <numFmt numFmtId="200" formatCode="0&quot;-bps&quot;"/>
    <numFmt numFmtId="201" formatCode="0&quot; Months&quot;"/>
    <numFmt numFmtId="202" formatCode="0&quot; Month&quot;"/>
    <numFmt numFmtId="203" formatCode="#,##0&quot;-Yrs.&quot;"/>
    <numFmt numFmtId="204" formatCode="#,##0&quot;-Months&quot;"/>
    <numFmt numFmtId="205" formatCode="0&quot;-Yrs.&quot;"/>
    <numFmt numFmtId="206" formatCode="&quot;₱&quot;#,##0.00&quot; per kWh&quot;"/>
    <numFmt numFmtId="207" formatCode="[$-3409]mmmm\ dd\,\ yyyy;@"/>
  </numFmts>
  <fonts count="83" x14ac:knownFonts="1">
    <font>
      <sz val="11"/>
      <color theme="1"/>
      <name val="Aptos Narrow"/>
      <family val="2"/>
      <scheme val="minor"/>
    </font>
    <font>
      <sz val="11"/>
      <color theme="1"/>
      <name val="Aptos Narrow"/>
      <family val="2"/>
      <scheme val="minor"/>
    </font>
    <font>
      <sz val="8"/>
      <color theme="1"/>
      <name val="Tahoma"/>
      <family val="2"/>
    </font>
    <font>
      <b/>
      <sz val="8"/>
      <color theme="1"/>
      <name val="Tahoma"/>
      <family val="2"/>
    </font>
    <font>
      <sz val="7"/>
      <color theme="1" tint="0.34998626667073579"/>
      <name val="Tahoma"/>
      <family val="2"/>
    </font>
    <font>
      <sz val="8"/>
      <color theme="1" tint="0.34998626667073579"/>
      <name val="Tahoma"/>
      <family val="2"/>
    </font>
    <font>
      <sz val="8"/>
      <color theme="9" tint="-0.249977111117893"/>
      <name val="Tahoma"/>
      <family val="2"/>
    </font>
    <font>
      <sz val="8"/>
      <color rgb="FF000000"/>
      <name val="Segoe UI"/>
      <family val="2"/>
    </font>
    <font>
      <sz val="9"/>
      <color theme="1"/>
      <name val="Aptos Narrow"/>
      <family val="2"/>
      <scheme val="minor"/>
    </font>
    <font>
      <sz val="9"/>
      <color rgb="FF00B050"/>
      <name val="Aptos Narrow"/>
      <family val="2"/>
      <scheme val="minor"/>
    </font>
    <font>
      <sz val="9"/>
      <color rgb="FFFF0000"/>
      <name val="Aptos Narrow"/>
      <family val="2"/>
      <scheme val="minor"/>
    </font>
    <font>
      <sz val="9"/>
      <color theme="5" tint="-0.249977111117893"/>
      <name val="Aptos Narrow"/>
      <family val="2"/>
      <scheme val="minor"/>
    </font>
    <font>
      <sz val="9"/>
      <color theme="3" tint="9.9978637043366805E-2"/>
      <name val="Aptos Narrow"/>
      <family val="2"/>
      <scheme val="minor"/>
    </font>
    <font>
      <b/>
      <sz val="8"/>
      <color theme="1"/>
      <name val="Aptos Narrow"/>
      <family val="2"/>
      <scheme val="minor"/>
    </font>
    <font>
      <sz val="8"/>
      <color theme="9" tint="-0.499984740745262"/>
      <name val="Aptos Narrow"/>
      <family val="2"/>
      <scheme val="minor"/>
    </font>
    <font>
      <b/>
      <sz val="9"/>
      <color theme="9" tint="-0.499984740745262"/>
      <name val="Aptos Narrow"/>
      <family val="2"/>
      <scheme val="minor"/>
    </font>
    <font>
      <b/>
      <sz val="8"/>
      <color theme="9" tint="-0.499984740745262"/>
      <name val="Aptos Narrow"/>
      <family val="2"/>
      <scheme val="minor"/>
    </font>
    <font>
      <b/>
      <sz val="10"/>
      <color theme="9" tint="-0.499984740745262"/>
      <name val="Aptos Narrow"/>
      <family val="2"/>
      <scheme val="minor"/>
    </font>
    <font>
      <sz val="8"/>
      <color theme="9" tint="-0.249977111117893"/>
      <name val="Aptos Narrow"/>
      <family val="2"/>
      <scheme val="minor"/>
    </font>
    <font>
      <sz val="8"/>
      <color theme="3" tint="9.9978637043366805E-2"/>
      <name val="Aptos Narrow"/>
      <family val="2"/>
      <scheme val="minor"/>
    </font>
    <font>
      <sz val="8"/>
      <color theme="5" tint="-0.249977111117893"/>
      <name val="Aptos Narrow"/>
      <family val="2"/>
      <scheme val="minor"/>
    </font>
    <font>
      <b/>
      <sz val="7"/>
      <color theme="1"/>
      <name val="Aptos Narrow"/>
      <family val="2"/>
      <scheme val="minor"/>
    </font>
    <font>
      <sz val="8"/>
      <color theme="1"/>
      <name val="Aptos Narrow"/>
      <family val="2"/>
      <scheme val="minor"/>
    </font>
    <font>
      <b/>
      <sz val="9"/>
      <color theme="1"/>
      <name val="Aptos Narrow"/>
      <family val="2"/>
      <scheme val="minor"/>
    </font>
    <font>
      <b/>
      <sz val="9"/>
      <color theme="9" tint="-0.249977111117893"/>
      <name val="Aptos Narrow"/>
      <family val="2"/>
      <scheme val="minor"/>
    </font>
    <font>
      <sz val="9"/>
      <color theme="1" tint="0.499984740745262"/>
      <name val="Aptos Narrow"/>
      <family val="2"/>
      <scheme val="minor"/>
    </font>
    <font>
      <sz val="9"/>
      <name val="Aptos Narrow"/>
      <family val="2"/>
      <scheme val="minor"/>
    </font>
    <font>
      <b/>
      <sz val="8"/>
      <color theme="5"/>
      <name val="Tahoma"/>
      <family val="2"/>
    </font>
    <font>
      <sz val="8"/>
      <name val="Tahoma"/>
      <family val="2"/>
    </font>
    <font>
      <sz val="11"/>
      <color theme="1"/>
      <name val="Tahoma"/>
      <family val="2"/>
    </font>
    <font>
      <sz val="8"/>
      <color theme="1" tint="0.499984740745262"/>
      <name val="Tahoma"/>
      <family val="2"/>
    </font>
    <font>
      <sz val="8"/>
      <color theme="4"/>
      <name val="Tahoma"/>
      <family val="2"/>
    </font>
    <font>
      <sz val="8"/>
      <color rgb="FFFF0000"/>
      <name val="Tahoma"/>
      <family val="2"/>
    </font>
    <font>
      <sz val="8"/>
      <color rgb="FF000000"/>
      <name val="Aptos Narrow"/>
      <family val="2"/>
      <scheme val="minor"/>
    </font>
    <font>
      <b/>
      <sz val="8"/>
      <color rgb="FF000000"/>
      <name val="Aptos Narrow"/>
      <family val="2"/>
      <scheme val="minor"/>
    </font>
    <font>
      <sz val="8"/>
      <color rgb="FF000000"/>
      <name val="Tahoma"/>
      <family val="2"/>
    </font>
    <font>
      <sz val="8"/>
      <color theme="1" tint="0.499984740745262"/>
      <name val="Aptos Narrow"/>
      <family val="2"/>
      <scheme val="minor"/>
    </font>
    <font>
      <sz val="12"/>
      <color theme="9" tint="-0.249977111117893"/>
      <name val="Tahoma"/>
      <family val="2"/>
    </font>
    <font>
      <sz val="18"/>
      <color theme="9" tint="-0.249977111117893"/>
      <name val="Tahoma"/>
      <family val="2"/>
    </font>
    <font>
      <sz val="8"/>
      <color theme="0"/>
      <name val="Tahoma"/>
      <family val="2"/>
    </font>
    <font>
      <sz val="10"/>
      <color theme="1"/>
      <name val="Tahoma"/>
      <family val="2"/>
    </font>
    <font>
      <sz val="9"/>
      <color theme="9" tint="-0.249977111117893"/>
      <name val="Tahoma"/>
      <family val="2"/>
    </font>
    <font>
      <sz val="9"/>
      <color theme="5"/>
      <name val="Tahoma"/>
      <family val="2"/>
    </font>
    <font>
      <sz val="7"/>
      <color theme="1"/>
      <name val="Tahoma"/>
      <family val="2"/>
    </font>
    <font>
      <sz val="8"/>
      <color theme="1" tint="0.249977111117893"/>
      <name val="Tahoma"/>
      <family val="2"/>
    </font>
    <font>
      <sz val="8"/>
      <color theme="1" tint="0.249977111117893"/>
      <name val="Wingdings"/>
      <charset val="2"/>
    </font>
    <font>
      <sz val="9"/>
      <color theme="9" tint="-0.249977111117893"/>
      <name val="Wingdings"/>
      <charset val="2"/>
    </font>
    <font>
      <sz val="7"/>
      <color theme="1" tint="0.249977111117893"/>
      <name val="Tahoma"/>
      <family val="2"/>
    </font>
    <font>
      <sz val="9"/>
      <color indexed="81"/>
      <name val="Tahoma"/>
      <family val="2"/>
    </font>
    <font>
      <b/>
      <sz val="10"/>
      <color theme="1"/>
      <name val="Tahoma"/>
      <family val="2"/>
    </font>
    <font>
      <sz val="8"/>
      <color theme="5" tint="-0.249977111117893"/>
      <name val="Tahoma"/>
      <family val="2"/>
    </font>
    <font>
      <b/>
      <sz val="8"/>
      <color theme="5" tint="-0.249977111117893"/>
      <name val="Tahoma"/>
      <family val="2"/>
    </font>
    <font>
      <i/>
      <sz val="8"/>
      <color theme="5" tint="-0.249977111117893"/>
      <name val="Tahoma"/>
      <family val="2"/>
    </font>
    <font>
      <sz val="9"/>
      <color theme="5" tint="-0.249977111117893"/>
      <name val="Tahoma"/>
      <family val="2"/>
    </font>
    <font>
      <sz val="11"/>
      <color theme="9" tint="-0.249977111117893"/>
      <name val="Tahoma"/>
      <family val="2"/>
    </font>
    <font>
      <u/>
      <sz val="11"/>
      <color theme="10"/>
      <name val="Aptos Narrow"/>
      <family val="2"/>
      <scheme val="minor"/>
    </font>
    <font>
      <sz val="8"/>
      <color theme="5"/>
      <name val="Tahoma"/>
      <family val="2"/>
    </font>
    <font>
      <sz val="9"/>
      <color theme="1"/>
      <name val="Tahoma"/>
      <family val="2"/>
    </font>
    <font>
      <sz val="9"/>
      <name val="Tahoma"/>
      <family val="2"/>
    </font>
    <font>
      <b/>
      <sz val="9"/>
      <color theme="1"/>
      <name val="Tahoma"/>
      <family val="2"/>
    </font>
    <font>
      <sz val="6"/>
      <color theme="1"/>
      <name val="Tahoma"/>
      <family val="2"/>
    </font>
    <font>
      <sz val="6"/>
      <color theme="9" tint="-0.249977111117893"/>
      <name val="Tahoma"/>
      <family val="2"/>
    </font>
    <font>
      <sz val="6"/>
      <color theme="5"/>
      <name val="Tahoma"/>
      <family val="2"/>
    </font>
    <font>
      <sz val="10"/>
      <color rgb="FFFF0000"/>
      <name val="Tahoma"/>
      <family val="2"/>
    </font>
    <font>
      <b/>
      <sz val="8"/>
      <color theme="9" tint="-0.249977111117893"/>
      <name val="Tahoma"/>
      <family val="2"/>
    </font>
    <font>
      <sz val="9"/>
      <color theme="1" tint="0.249977111117893"/>
      <name val="Tahoma"/>
      <family val="2"/>
    </font>
    <font>
      <sz val="18"/>
      <name val="Aptos Narrow"/>
      <family val="2"/>
      <scheme val="minor"/>
    </font>
    <font>
      <sz val="11"/>
      <name val="Aptos Narrow"/>
      <family val="2"/>
      <scheme val="minor"/>
    </font>
    <font>
      <b/>
      <sz val="14"/>
      <name val="Aptos Narrow"/>
      <family val="2"/>
      <scheme val="minor"/>
    </font>
    <font>
      <sz val="14"/>
      <name val="Aptos Narrow"/>
      <family val="2"/>
      <scheme val="minor"/>
    </font>
    <font>
      <u/>
      <sz val="11"/>
      <name val="Aptos Narrow"/>
      <family val="2"/>
      <scheme val="minor"/>
    </font>
    <font>
      <sz val="8"/>
      <name val="Aptos Narrow"/>
      <family val="2"/>
      <scheme val="minor"/>
    </font>
    <font>
      <b/>
      <sz val="9"/>
      <color theme="5"/>
      <name val="Tahoma"/>
      <family val="2"/>
    </font>
    <font>
      <b/>
      <sz val="8"/>
      <color rgb="FFFF0000"/>
      <name val="Tahoma"/>
      <family val="2"/>
    </font>
    <font>
      <b/>
      <sz val="9"/>
      <color rgb="FFFF0000"/>
      <name val="Aptos Narrow"/>
      <family val="2"/>
      <scheme val="minor"/>
    </font>
    <font>
      <sz val="10"/>
      <color theme="9" tint="-0.249977111117893"/>
      <name val="Tahoma"/>
      <family val="2"/>
    </font>
    <font>
      <b/>
      <sz val="8"/>
      <color theme="5" tint="-0.499984740745262"/>
      <name val="Tahoma"/>
      <family val="2"/>
    </font>
    <font>
      <sz val="8"/>
      <color theme="9" tint="-0.249977111117893"/>
      <name val="Wingdings"/>
      <charset val="2"/>
    </font>
    <font>
      <b/>
      <sz val="10"/>
      <color theme="5" tint="-0.499984740745262"/>
      <name val="Tahoma"/>
      <family val="2"/>
    </font>
    <font>
      <sz val="11"/>
      <color theme="9" tint="-0.499984740745262"/>
      <name val="Tahoma"/>
      <family val="2"/>
    </font>
    <font>
      <sz val="11"/>
      <color rgb="FF000000"/>
      <name val="Aptos Narrow"/>
      <family val="2"/>
    </font>
    <font>
      <sz val="12"/>
      <color theme="1"/>
      <name val="Tahoma"/>
      <family val="2"/>
    </font>
    <font>
      <sz val="12"/>
      <color rgb="FFFF0000"/>
      <name val="Tahoma"/>
      <family val="2"/>
    </font>
  </fonts>
  <fills count="7">
    <fill>
      <patternFill patternType="none"/>
    </fill>
    <fill>
      <patternFill patternType="gray125"/>
    </fill>
    <fill>
      <patternFill patternType="solid">
        <fgColor theme="3" tint="0.89999084444715716"/>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s>
  <borders count="44">
    <border>
      <left/>
      <right/>
      <top/>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ck">
        <color theme="1" tint="0.499984740745262"/>
      </left>
      <right style="thick">
        <color theme="1" tint="0.499984740745262"/>
      </right>
      <top style="thick">
        <color theme="1" tint="0.499984740745262"/>
      </top>
      <bottom style="thin">
        <color theme="1" tint="0.499984740745262"/>
      </bottom>
      <diagonal/>
    </border>
    <border>
      <left style="thick">
        <color theme="1" tint="0.499984740745262"/>
      </left>
      <right style="thick">
        <color theme="1" tint="0.499984740745262"/>
      </right>
      <top style="thin">
        <color theme="1" tint="0.499984740745262"/>
      </top>
      <bottom style="thin">
        <color theme="1" tint="0.499984740745262"/>
      </bottom>
      <diagonal/>
    </border>
    <border>
      <left style="thick">
        <color theme="1" tint="0.499984740745262"/>
      </left>
      <right style="thick">
        <color theme="1" tint="0.499984740745262"/>
      </right>
      <top style="thin">
        <color theme="1" tint="0.499984740745262"/>
      </top>
      <bottom style="thick">
        <color theme="1"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diagonal/>
    </border>
    <border>
      <left/>
      <right/>
      <top style="thin">
        <color indexed="64"/>
      </top>
      <bottom/>
      <diagonal/>
    </border>
    <border>
      <left/>
      <right style="thin">
        <color theme="0" tint="-0.499984740745262"/>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right/>
      <top style="thin">
        <color theme="5" tint="-0.24994659260841701"/>
      </top>
      <bottom style="thick">
        <color theme="5" tint="-0.24994659260841701"/>
      </bottom>
      <diagonal/>
    </border>
    <border>
      <left style="thick">
        <color theme="0" tint="-0.499984740745262"/>
      </left>
      <right style="thin">
        <color theme="0" tint="-0.499984740745262"/>
      </right>
      <top style="thick">
        <color theme="0" tint="-0.499984740745262"/>
      </top>
      <bottom style="thin">
        <color theme="0" tint="-0.499984740745262"/>
      </bottom>
      <diagonal/>
    </border>
    <border>
      <left style="thin">
        <color theme="0" tint="-0.499984740745262"/>
      </left>
      <right style="thick">
        <color theme="0" tint="-0.499984740745262"/>
      </right>
      <top style="thick">
        <color theme="0" tint="-0.499984740745262"/>
      </top>
      <bottom style="thin">
        <color theme="0" tint="-0.499984740745262"/>
      </bottom>
      <diagonal/>
    </border>
    <border>
      <left style="thick">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ck">
        <color theme="0" tint="-0.499984740745262"/>
      </right>
      <top style="thin">
        <color theme="0" tint="-0.499984740745262"/>
      </top>
      <bottom style="thin">
        <color theme="0" tint="-0.499984740745262"/>
      </bottom>
      <diagonal/>
    </border>
    <border>
      <left style="thick">
        <color theme="0" tint="-0.499984740745262"/>
      </left>
      <right style="thin">
        <color theme="0" tint="-0.499984740745262"/>
      </right>
      <top style="thin">
        <color theme="0" tint="-0.499984740745262"/>
      </top>
      <bottom style="thick">
        <color theme="0" tint="-0.499984740745262"/>
      </bottom>
      <diagonal/>
    </border>
    <border>
      <left style="thin">
        <color theme="0" tint="-0.499984740745262"/>
      </left>
      <right style="thick">
        <color theme="0" tint="-0.499984740745262"/>
      </right>
      <top style="thin">
        <color theme="0" tint="-0.499984740745262"/>
      </top>
      <bottom style="thick">
        <color theme="0" tint="-0.49998474074526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theme="0" tint="-0.499984740745262"/>
      </left>
      <right/>
      <top/>
      <bottom/>
      <diagonal/>
    </border>
    <border>
      <left style="thin">
        <color theme="0" tint="-0.499984740745262"/>
      </left>
      <right style="thin">
        <color theme="0" tint="-0.499984740745262"/>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55" fillId="0" borderId="0" applyNumberFormat="0" applyFill="0" applyBorder="0" applyAlignment="0" applyProtection="0"/>
  </cellStyleXfs>
  <cellXfs count="373">
    <xf numFmtId="0" fontId="0" fillId="0" borderId="0" xfId="0"/>
    <xf numFmtId="0" fontId="2" fillId="0" borderId="0" xfId="0" applyFont="1" applyAlignment="1">
      <alignment horizontal="right" vertical="center"/>
    </xf>
    <xf numFmtId="0" fontId="2" fillId="0" borderId="0" xfId="0" applyFont="1" applyAlignment="1">
      <alignment vertical="center"/>
    </xf>
    <xf numFmtId="0" fontId="2" fillId="0" borderId="0" xfId="0" applyFont="1" applyAlignment="1">
      <alignment horizontal="left" vertical="center"/>
    </xf>
    <xf numFmtId="0" fontId="2" fillId="0" borderId="0" xfId="0" applyFont="1" applyAlignment="1">
      <alignment horizontal="right" vertical="center" indent="1"/>
    </xf>
    <xf numFmtId="0" fontId="2" fillId="0" borderId="1" xfId="0" applyFont="1" applyBorder="1" applyAlignment="1">
      <alignment horizontal="right" vertical="center" indent="1"/>
    </xf>
    <xf numFmtId="9" fontId="2" fillId="0" borderId="0" xfId="0" applyNumberFormat="1" applyFont="1" applyAlignment="1">
      <alignment horizontal="left" vertical="center"/>
    </xf>
    <xf numFmtId="0" fontId="3" fillId="0" borderId="0" xfId="0" applyFont="1" applyAlignment="1">
      <alignment horizontal="right" vertical="center" indent="1"/>
    </xf>
    <xf numFmtId="0" fontId="8" fillId="0" borderId="0" xfId="0" applyFont="1"/>
    <xf numFmtId="0" fontId="8" fillId="0" borderId="0" xfId="0" applyFont="1" applyAlignment="1">
      <alignment horizontal="center"/>
    </xf>
    <xf numFmtId="167" fontId="8" fillId="0" borderId="0" xfId="0" applyNumberFormat="1" applyFont="1" applyAlignment="1">
      <alignment horizontal="center"/>
    </xf>
    <xf numFmtId="9" fontId="8" fillId="0" borderId="0" xfId="0" applyNumberFormat="1" applyFont="1" applyAlignment="1">
      <alignment horizontal="center"/>
    </xf>
    <xf numFmtId="0" fontId="2" fillId="0" borderId="0" xfId="0" applyFont="1" applyAlignment="1">
      <alignment horizontal="center" vertical="center"/>
    </xf>
    <xf numFmtId="9" fontId="2" fillId="0" borderId="0" xfId="0" applyNumberFormat="1" applyFont="1" applyAlignment="1">
      <alignment horizontal="center" vertical="center"/>
    </xf>
    <xf numFmtId="0" fontId="9" fillId="0" borderId="0" xfId="0" applyFont="1" applyAlignment="1">
      <alignment horizontal="right"/>
    </xf>
    <xf numFmtId="18" fontId="9" fillId="0" borderId="0" xfId="0" applyNumberFormat="1" applyFont="1" applyAlignment="1">
      <alignment horizontal="center"/>
    </xf>
    <xf numFmtId="0" fontId="10" fillId="0" borderId="0" xfId="0" applyFont="1" applyAlignment="1">
      <alignment horizontal="right"/>
    </xf>
    <xf numFmtId="18" fontId="10" fillId="0" borderId="0" xfId="0" applyNumberFormat="1" applyFont="1" applyAlignment="1">
      <alignment horizontal="center"/>
    </xf>
    <xf numFmtId="0" fontId="8" fillId="0" borderId="0" xfId="0" applyFont="1" applyAlignment="1">
      <alignment horizontal="right"/>
    </xf>
    <xf numFmtId="0" fontId="11" fillId="0" borderId="0" xfId="0" applyFont="1" applyAlignment="1">
      <alignment horizontal="right"/>
    </xf>
    <xf numFmtId="170" fontId="11" fillId="0" borderId="0" xfId="0" applyNumberFormat="1" applyFont="1" applyAlignment="1">
      <alignment horizontal="center"/>
    </xf>
    <xf numFmtId="0" fontId="12" fillId="0" borderId="0" xfId="0" applyFont="1" applyAlignment="1">
      <alignment horizontal="right"/>
    </xf>
    <xf numFmtId="170" fontId="12" fillId="0" borderId="0" xfId="0" applyNumberFormat="1" applyFont="1" applyAlignment="1">
      <alignment horizontal="center"/>
    </xf>
    <xf numFmtId="0" fontId="8" fillId="0" borderId="2" xfId="0" applyFont="1" applyBorder="1" applyAlignment="1">
      <alignment horizontal="right"/>
    </xf>
    <xf numFmtId="170" fontId="8" fillId="0" borderId="2" xfId="0" applyNumberFormat="1" applyFont="1" applyBorder="1" applyAlignment="1">
      <alignment horizontal="center"/>
    </xf>
    <xf numFmtId="171" fontId="8" fillId="0" borderId="0" xfId="0" applyNumberFormat="1" applyFont="1" applyAlignment="1">
      <alignment horizontal="center"/>
    </xf>
    <xf numFmtId="171" fontId="8" fillId="0" borderId="2" xfId="0" applyNumberFormat="1" applyFont="1" applyBorder="1" applyAlignment="1">
      <alignment horizontal="center"/>
    </xf>
    <xf numFmtId="0" fontId="8" fillId="0" borderId="3" xfId="0" applyFont="1" applyBorder="1"/>
    <xf numFmtId="0" fontId="8" fillId="0" borderId="4" xfId="0" applyFont="1" applyBorder="1" applyAlignment="1">
      <alignment horizontal="right"/>
    </xf>
    <xf numFmtId="0" fontId="8" fillId="0" borderId="5" xfId="0" applyFont="1" applyBorder="1" applyAlignment="1">
      <alignment horizontal="right"/>
    </xf>
    <xf numFmtId="0" fontId="8" fillId="0" borderId="4" xfId="0" applyFont="1" applyBorder="1"/>
    <xf numFmtId="0" fontId="8" fillId="0" borderId="5" xfId="0" applyFont="1" applyBorder="1"/>
    <xf numFmtId="0" fontId="13" fillId="0" borderId="3" xfId="0" applyFont="1" applyBorder="1" applyAlignment="1">
      <alignment horizontal="left"/>
    </xf>
    <xf numFmtId="0" fontId="13" fillId="0" borderId="4" xfId="0" applyFont="1" applyBorder="1" applyAlignment="1">
      <alignment horizontal="center"/>
    </xf>
    <xf numFmtId="172" fontId="14" fillId="0" borderId="5" xfId="0" applyNumberFormat="1" applyFont="1" applyBorder="1" applyAlignment="1">
      <alignment horizontal="center"/>
    </xf>
    <xf numFmtId="172" fontId="14" fillId="0" borderId="0" xfId="0" applyNumberFormat="1" applyFont="1" applyAlignment="1">
      <alignment horizontal="center"/>
    </xf>
    <xf numFmtId="173" fontId="8" fillId="0" borderId="0" xfId="0" applyNumberFormat="1" applyFont="1" applyAlignment="1">
      <alignment horizontal="center"/>
    </xf>
    <xf numFmtId="0" fontId="15" fillId="0" borderId="6" xfId="0" applyFont="1" applyBorder="1" applyAlignment="1">
      <alignment horizontal="center"/>
    </xf>
    <xf numFmtId="0" fontId="16" fillId="0" borderId="6" xfId="0" applyFont="1" applyBorder="1" applyAlignment="1">
      <alignment horizontal="center"/>
    </xf>
    <xf numFmtId="0" fontId="16" fillId="0" borderId="7" xfId="0" applyFont="1" applyBorder="1" applyAlignment="1">
      <alignment horizontal="center"/>
    </xf>
    <xf numFmtId="0" fontId="16" fillId="0" borderId="8" xfId="0" applyFont="1" applyBorder="1" applyAlignment="1">
      <alignment horizontal="center"/>
    </xf>
    <xf numFmtId="0" fontId="13" fillId="0" borderId="7" xfId="0" applyFont="1" applyBorder="1"/>
    <xf numFmtId="0" fontId="13" fillId="0" borderId="8" xfId="0" applyFont="1" applyBorder="1"/>
    <xf numFmtId="174" fontId="17" fillId="0" borderId="6" xfId="0" applyNumberFormat="1" applyFont="1" applyBorder="1" applyAlignment="1">
      <alignment horizontal="center"/>
    </xf>
    <xf numFmtId="172" fontId="14" fillId="0" borderId="7" xfId="0" applyNumberFormat="1" applyFont="1" applyBorder="1" applyAlignment="1">
      <alignment horizontal="center"/>
    </xf>
    <xf numFmtId="0" fontId="18" fillId="0" borderId="8" xfId="0" applyFont="1" applyBorder="1" applyAlignment="1">
      <alignment horizontal="center"/>
    </xf>
    <xf numFmtId="0" fontId="18" fillId="0" borderId="0" xfId="0" applyFont="1" applyAlignment="1">
      <alignment horizontal="center"/>
    </xf>
    <xf numFmtId="175" fontId="15" fillId="0" borderId="0" xfId="0" applyNumberFormat="1" applyFont="1" applyAlignment="1">
      <alignment horizontal="center"/>
    </xf>
    <xf numFmtId="0" fontId="8" fillId="0" borderId="0" xfId="0" applyFont="1" applyAlignment="1">
      <alignment horizontal="left"/>
    </xf>
    <xf numFmtId="176" fontId="12" fillId="0" borderId="0" xfId="0" applyNumberFormat="1" applyFont="1"/>
    <xf numFmtId="177" fontId="12" fillId="0" borderId="9" xfId="0" applyNumberFormat="1" applyFont="1" applyBorder="1" applyAlignment="1">
      <alignment horizontal="center"/>
    </xf>
    <xf numFmtId="177" fontId="12" fillId="0" borderId="0" xfId="0" applyNumberFormat="1" applyFont="1" applyAlignment="1">
      <alignment horizontal="center"/>
    </xf>
    <xf numFmtId="177" fontId="12" fillId="0" borderId="10" xfId="0" applyNumberFormat="1" applyFont="1" applyBorder="1" applyAlignment="1">
      <alignment horizontal="center"/>
    </xf>
    <xf numFmtId="177" fontId="19" fillId="0" borderId="9" xfId="0" applyNumberFormat="1" applyFont="1" applyBorder="1" applyAlignment="1">
      <alignment horizontal="center"/>
    </xf>
    <xf numFmtId="177" fontId="19" fillId="0" borderId="0" xfId="0" applyNumberFormat="1" applyFont="1" applyAlignment="1">
      <alignment horizontal="center"/>
    </xf>
    <xf numFmtId="177" fontId="19" fillId="0" borderId="10" xfId="0" applyNumberFormat="1" applyFont="1" applyBorder="1" applyAlignment="1">
      <alignment horizontal="center"/>
    </xf>
    <xf numFmtId="172" fontId="19" fillId="0" borderId="0" xfId="0" applyNumberFormat="1" applyFont="1" applyAlignment="1">
      <alignment horizontal="center"/>
    </xf>
    <xf numFmtId="0" fontId="12" fillId="0" borderId="0" xfId="0" applyFont="1" applyAlignment="1">
      <alignment horizontal="center"/>
    </xf>
    <xf numFmtId="0" fontId="8" fillId="0" borderId="0" xfId="0" applyFont="1" applyAlignment="1">
      <alignment horizontal="left" indent="1"/>
    </xf>
    <xf numFmtId="176" fontId="11" fillId="0" borderId="0" xfId="0" applyNumberFormat="1" applyFont="1"/>
    <xf numFmtId="177" fontId="11" fillId="0" borderId="9" xfId="0" applyNumberFormat="1" applyFont="1" applyBorder="1" applyAlignment="1">
      <alignment horizontal="center"/>
    </xf>
    <xf numFmtId="177" fontId="11" fillId="0" borderId="0" xfId="0" applyNumberFormat="1" applyFont="1" applyAlignment="1">
      <alignment horizontal="center"/>
    </xf>
    <xf numFmtId="177" fontId="11" fillId="0" borderId="10" xfId="0" applyNumberFormat="1" applyFont="1" applyBorder="1" applyAlignment="1">
      <alignment horizontal="center"/>
    </xf>
    <xf numFmtId="177" fontId="20" fillId="0" borderId="9" xfId="0" applyNumberFormat="1" applyFont="1" applyBorder="1" applyAlignment="1">
      <alignment horizontal="center"/>
    </xf>
    <xf numFmtId="177" fontId="20" fillId="0" borderId="0" xfId="0" applyNumberFormat="1" applyFont="1" applyAlignment="1">
      <alignment horizontal="center"/>
    </xf>
    <xf numFmtId="177" fontId="20" fillId="0" borderId="10" xfId="0" applyNumberFormat="1" applyFont="1" applyBorder="1" applyAlignment="1">
      <alignment horizontal="center"/>
    </xf>
    <xf numFmtId="0" fontId="11" fillId="0" borderId="0" xfId="0" applyFont="1" applyAlignment="1">
      <alignment horizontal="center"/>
    </xf>
    <xf numFmtId="0" fontId="8" fillId="0" borderId="3" xfId="0" applyFont="1" applyBorder="1" applyAlignment="1">
      <alignment horizontal="right"/>
    </xf>
    <xf numFmtId="172" fontId="8" fillId="0" borderId="3" xfId="0" applyNumberFormat="1" applyFont="1" applyBorder="1" applyAlignment="1">
      <alignment horizontal="center"/>
    </xf>
    <xf numFmtId="172" fontId="8" fillId="0" borderId="4" xfId="0" applyNumberFormat="1" applyFont="1" applyBorder="1" applyAlignment="1">
      <alignment horizontal="center"/>
    </xf>
    <xf numFmtId="172" fontId="8" fillId="0" borderId="5" xfId="0" applyNumberFormat="1" applyFont="1" applyBorder="1" applyAlignment="1">
      <alignment horizontal="center"/>
    </xf>
    <xf numFmtId="172" fontId="8" fillId="0" borderId="11" xfId="0" applyNumberFormat="1" applyFont="1" applyBorder="1" applyAlignment="1">
      <alignment horizontal="center"/>
    </xf>
    <xf numFmtId="172" fontId="8" fillId="0" borderId="12" xfId="0" applyNumberFormat="1" applyFont="1" applyBorder="1" applyAlignment="1">
      <alignment horizontal="center"/>
    </xf>
    <xf numFmtId="172" fontId="8" fillId="0" borderId="13" xfId="0" applyNumberFormat="1" applyFont="1" applyBorder="1" applyAlignment="1">
      <alignment horizontal="center"/>
    </xf>
    <xf numFmtId="172" fontId="8" fillId="0" borderId="0" xfId="0" applyNumberFormat="1" applyFont="1" applyAlignment="1">
      <alignment horizontal="center"/>
    </xf>
    <xf numFmtId="9" fontId="8" fillId="0" borderId="0" xfId="2" applyFont="1" applyAlignment="1">
      <alignment horizontal="center"/>
    </xf>
    <xf numFmtId="0" fontId="8" fillId="0" borderId="14" xfId="0" applyFont="1" applyBorder="1"/>
    <xf numFmtId="0" fontId="21" fillId="0" borderId="14" xfId="0" applyFont="1" applyBorder="1" applyAlignment="1">
      <alignment horizontal="center"/>
    </xf>
    <xf numFmtId="0" fontId="8" fillId="0" borderId="14" xfId="0" applyFont="1" applyBorder="1" applyAlignment="1">
      <alignment horizontal="right"/>
    </xf>
    <xf numFmtId="178" fontId="8" fillId="0" borderId="14" xfId="0" applyNumberFormat="1" applyFont="1" applyBorder="1" applyAlignment="1">
      <alignment horizontal="right"/>
    </xf>
    <xf numFmtId="9" fontId="22" fillId="0" borderId="14" xfId="2" applyFont="1" applyBorder="1" applyAlignment="1">
      <alignment horizontal="left"/>
    </xf>
    <xf numFmtId="178" fontId="23" fillId="0" borderId="14" xfId="0" applyNumberFormat="1" applyFont="1" applyBorder="1" applyAlignment="1">
      <alignment horizontal="right"/>
    </xf>
    <xf numFmtId="0" fontId="18" fillId="0" borderId="0" xfId="0" applyFont="1" applyAlignment="1">
      <alignment horizontal="right"/>
    </xf>
    <xf numFmtId="172" fontId="24" fillId="0" borderId="0" xfId="0" applyNumberFormat="1" applyFont="1" applyAlignment="1">
      <alignment horizontal="center"/>
    </xf>
    <xf numFmtId="9" fontId="22" fillId="0" borderId="14" xfId="2" applyFont="1" applyBorder="1" applyAlignment="1">
      <alignment horizontal="center" vertical="top"/>
    </xf>
    <xf numFmtId="0" fontId="8" fillId="0" borderId="14" xfId="0" applyFont="1" applyBorder="1" applyAlignment="1">
      <alignment horizontal="center"/>
    </xf>
    <xf numFmtId="169" fontId="24" fillId="0" borderId="0" xfId="0" applyNumberFormat="1" applyFont="1" applyAlignment="1">
      <alignment horizontal="center"/>
    </xf>
    <xf numFmtId="179" fontId="8" fillId="0" borderId="0" xfId="0" applyNumberFormat="1" applyFont="1" applyAlignment="1">
      <alignment horizontal="center"/>
    </xf>
    <xf numFmtId="0" fontId="22" fillId="2" borderId="0" xfId="0" applyFont="1" applyFill="1" applyAlignment="1">
      <alignment horizontal="center"/>
    </xf>
    <xf numFmtId="181" fontId="8" fillId="2" borderId="14" xfId="2" applyNumberFormat="1" applyFont="1" applyFill="1" applyBorder="1" applyAlignment="1">
      <alignment horizontal="center"/>
    </xf>
    <xf numFmtId="181" fontId="8" fillId="0" borderId="0" xfId="0" applyNumberFormat="1" applyFont="1" applyAlignment="1">
      <alignment horizontal="center"/>
    </xf>
    <xf numFmtId="169" fontId="8" fillId="0" borderId="0" xfId="1" applyNumberFormat="1" applyFont="1" applyAlignment="1">
      <alignment horizontal="center"/>
    </xf>
    <xf numFmtId="169" fontId="8" fillId="0" borderId="0" xfId="0" applyNumberFormat="1" applyFont="1" applyAlignment="1">
      <alignment horizontal="center"/>
    </xf>
    <xf numFmtId="182" fontId="8" fillId="0" borderId="0" xfId="0" applyNumberFormat="1" applyFont="1" applyAlignment="1">
      <alignment horizontal="center"/>
    </xf>
    <xf numFmtId="43" fontId="8" fillId="0" borderId="0" xfId="1" applyFont="1" applyAlignment="1">
      <alignment horizontal="center"/>
    </xf>
    <xf numFmtId="43" fontId="8" fillId="0" borderId="0" xfId="0" applyNumberFormat="1" applyFont="1" applyAlignment="1">
      <alignment horizontal="center"/>
    </xf>
    <xf numFmtId="0" fontId="2" fillId="4" borderId="16" xfId="0" applyFont="1" applyFill="1" applyBorder="1" applyAlignment="1">
      <alignment horizontal="center" vertical="center" wrapText="1"/>
    </xf>
    <xf numFmtId="183" fontId="2" fillId="0" borderId="17" xfId="0" applyNumberFormat="1" applyFont="1" applyBorder="1" applyAlignment="1">
      <alignment horizontal="center"/>
    </xf>
    <xf numFmtId="184" fontId="2" fillId="0" borderId="17" xfId="0" applyNumberFormat="1" applyFont="1" applyBorder="1" applyAlignment="1">
      <alignment horizontal="center"/>
    </xf>
    <xf numFmtId="184" fontId="2" fillId="0" borderId="18" xfId="0" applyNumberFormat="1" applyFont="1" applyBorder="1" applyAlignment="1">
      <alignment horizontal="center"/>
    </xf>
    <xf numFmtId="9" fontId="2" fillId="0" borderId="0" xfId="2" applyFont="1" applyAlignment="1">
      <alignment horizontal="left" vertical="center"/>
    </xf>
    <xf numFmtId="0" fontId="2" fillId="0" borderId="15" xfId="0" applyFont="1" applyBorder="1" applyAlignment="1">
      <alignment horizontal="center" vertical="center" shrinkToFit="1"/>
    </xf>
    <xf numFmtId="0" fontId="3" fillId="0" borderId="0" xfId="0" applyFont="1" applyAlignment="1">
      <alignment horizontal="center" shrinkToFit="1"/>
    </xf>
    <xf numFmtId="0" fontId="2" fillId="0" borderId="0" xfId="0" applyFont="1" applyAlignment="1">
      <alignment shrinkToFit="1"/>
    </xf>
    <xf numFmtId="9" fontId="31" fillId="0" borderId="0" xfId="0" applyNumberFormat="1" applyFont="1" applyAlignment="1">
      <alignment horizontal="center" shrinkToFit="1"/>
    </xf>
    <xf numFmtId="186" fontId="30" fillId="0" borderId="0" xfId="0" applyNumberFormat="1" applyFont="1" applyAlignment="1">
      <alignment horizontal="center" shrinkToFit="1"/>
    </xf>
    <xf numFmtId="0" fontId="30" fillId="0" borderId="0" xfId="0" applyFont="1" applyAlignment="1">
      <alignment horizontal="center" shrinkToFit="1"/>
    </xf>
    <xf numFmtId="169" fontId="2" fillId="0" borderId="0" xfId="0" applyNumberFormat="1" applyFont="1" applyAlignment="1">
      <alignment horizontal="center" shrinkToFit="1"/>
    </xf>
    <xf numFmtId="0" fontId="2" fillId="0" borderId="0" xfId="0" applyFont="1" applyAlignment="1">
      <alignment vertical="center" shrinkToFit="1"/>
    </xf>
    <xf numFmtId="42" fontId="3" fillId="0" borderId="0" xfId="0" applyNumberFormat="1" applyFont="1" applyAlignment="1">
      <alignment vertical="center" shrinkToFit="1"/>
    </xf>
    <xf numFmtId="166" fontId="2" fillId="0" borderId="1" xfId="1" applyNumberFormat="1" applyFont="1" applyBorder="1" applyAlignment="1">
      <alignment vertical="center" shrinkToFit="1"/>
    </xf>
    <xf numFmtId="165" fontId="3" fillId="0" borderId="0" xfId="0" applyNumberFormat="1" applyFont="1" applyAlignment="1">
      <alignment vertical="center" shrinkToFit="1"/>
    </xf>
    <xf numFmtId="165" fontId="2" fillId="0" borderId="0" xfId="0" applyNumberFormat="1" applyFont="1" applyAlignment="1">
      <alignment vertical="center" shrinkToFit="1"/>
    </xf>
    <xf numFmtId="0" fontId="2" fillId="0" borderId="1" xfId="0" applyFont="1" applyBorder="1" applyAlignment="1">
      <alignment horizontal="left" vertical="center"/>
    </xf>
    <xf numFmtId="9" fontId="2" fillId="0" borderId="1" xfId="0" applyNumberFormat="1" applyFont="1" applyBorder="1" applyAlignment="1">
      <alignment horizontal="left" vertical="center"/>
    </xf>
    <xf numFmtId="0" fontId="2" fillId="2" borderId="15" xfId="0" applyFont="1" applyFill="1" applyBorder="1" applyAlignment="1" applyProtection="1">
      <alignment horizontal="center" vertical="center"/>
      <protection locked="0"/>
    </xf>
    <xf numFmtId="0" fontId="2" fillId="0" borderId="0" xfId="0" applyFont="1" applyAlignment="1">
      <alignment horizontal="center" shrinkToFit="1"/>
    </xf>
    <xf numFmtId="169" fontId="2" fillId="0" borderId="0" xfId="0" applyNumberFormat="1" applyFont="1" applyAlignment="1">
      <alignment shrinkToFit="1"/>
    </xf>
    <xf numFmtId="9" fontId="2" fillId="0" borderId="0" xfId="2" applyFont="1" applyAlignment="1">
      <alignment horizontal="center" shrinkToFit="1"/>
    </xf>
    <xf numFmtId="42" fontId="2" fillId="0" borderId="0" xfId="0" applyNumberFormat="1" applyFont="1" applyAlignment="1">
      <alignment horizontal="left" vertical="center"/>
    </xf>
    <xf numFmtId="0" fontId="34" fillId="0" borderId="0" xfId="0" applyFont="1" applyAlignment="1">
      <alignment horizontal="center" wrapText="1"/>
    </xf>
    <xf numFmtId="0" fontId="2" fillId="0" borderId="0" xfId="0" applyFont="1" applyAlignment="1">
      <alignment horizontal="left" vertical="center" shrinkToFit="1"/>
    </xf>
    <xf numFmtId="9" fontId="2" fillId="0" borderId="0" xfId="2" applyFont="1" applyAlignment="1">
      <alignment horizontal="center" vertical="center" shrinkToFit="1"/>
    </xf>
    <xf numFmtId="6" fontId="2" fillId="0" borderId="0" xfId="0" applyNumberFormat="1" applyFont="1" applyAlignment="1">
      <alignment horizontal="center" shrinkToFit="1"/>
    </xf>
    <xf numFmtId="9" fontId="2" fillId="0" borderId="0" xfId="0" applyNumberFormat="1" applyFont="1" applyAlignment="1">
      <alignment horizontal="center" shrinkToFit="1"/>
    </xf>
    <xf numFmtId="0" fontId="32" fillId="0" borderId="0" xfId="0" applyFont="1" applyAlignment="1">
      <alignment shrinkToFit="1"/>
    </xf>
    <xf numFmtId="41" fontId="2" fillId="0" borderId="0" xfId="1" applyNumberFormat="1" applyFont="1" applyAlignment="1">
      <alignment horizontal="left" vertical="center"/>
    </xf>
    <xf numFmtId="9" fontId="2" fillId="0" borderId="0" xfId="2" applyFont="1" applyAlignment="1">
      <alignment horizontal="left" shrinkToFit="1"/>
    </xf>
    <xf numFmtId="190" fontId="2" fillId="2" borderId="15" xfId="0" applyNumberFormat="1" applyFont="1" applyFill="1" applyBorder="1" applyAlignment="1" applyProtection="1">
      <alignment horizontal="center" vertical="center"/>
      <protection locked="0"/>
    </xf>
    <xf numFmtId="0" fontId="35" fillId="0" borderId="0" xfId="0" applyFont="1" applyAlignment="1">
      <alignment shrinkToFit="1"/>
    </xf>
    <xf numFmtId="0" fontId="30" fillId="0" borderId="0" xfId="0" applyFont="1" applyAlignment="1">
      <alignment shrinkToFit="1"/>
    </xf>
    <xf numFmtId="169" fontId="2" fillId="0" borderId="2" xfId="0" applyNumberFormat="1" applyFont="1" applyBorder="1" applyAlignment="1">
      <alignment horizontal="center" shrinkToFit="1"/>
    </xf>
    <xf numFmtId="0" fontId="2" fillId="0" borderId="2" xfId="0" applyFont="1" applyBorder="1" applyAlignment="1">
      <alignment horizontal="left" indent="2" shrinkToFit="1"/>
    </xf>
    <xf numFmtId="0" fontId="2" fillId="2" borderId="15" xfId="0" applyFont="1" applyFill="1" applyBorder="1" applyAlignment="1" applyProtection="1">
      <alignment horizontal="center" vertical="center" shrinkToFit="1"/>
      <protection locked="0"/>
    </xf>
    <xf numFmtId="41" fontId="2" fillId="0" borderId="15" xfId="1" applyNumberFormat="1" applyFont="1" applyBorder="1" applyAlignment="1">
      <alignment horizontal="left" vertical="center"/>
    </xf>
    <xf numFmtId="0" fontId="2" fillId="0" borderId="0" xfId="0" applyFont="1" applyAlignment="1">
      <alignment horizontal="left"/>
    </xf>
    <xf numFmtId="0" fontId="2" fillId="0" borderId="0" xfId="0" applyFont="1" applyAlignment="1">
      <alignment horizontal="left" shrinkToFit="1"/>
    </xf>
    <xf numFmtId="0" fontId="8" fillId="0" borderId="0" xfId="0" applyFont="1" applyAlignment="1">
      <alignment horizontal="left" vertical="center"/>
    </xf>
    <xf numFmtId="0" fontId="28" fillId="0" borderId="0" xfId="0" applyFont="1" applyAlignment="1">
      <alignment horizontal="left"/>
    </xf>
    <xf numFmtId="0" fontId="2" fillId="0" borderId="2" xfId="0" applyFont="1" applyBorder="1" applyAlignment="1">
      <alignment shrinkToFit="1"/>
    </xf>
    <xf numFmtId="0" fontId="41" fillId="0" borderId="0" xfId="0" applyFont="1" applyAlignment="1">
      <alignment horizontal="left" vertical="center" shrinkToFit="1"/>
    </xf>
    <xf numFmtId="0" fontId="50" fillId="0" borderId="0" xfId="0" applyFont="1" applyAlignment="1">
      <alignment horizontal="left" vertical="center"/>
    </xf>
    <xf numFmtId="42" fontId="50" fillId="0" borderId="0" xfId="0" applyNumberFormat="1" applyFont="1" applyAlignment="1">
      <alignment horizontal="left" vertical="center"/>
    </xf>
    <xf numFmtId="41" fontId="50" fillId="0" borderId="0" xfId="1" applyNumberFormat="1" applyFont="1" applyAlignment="1">
      <alignment horizontal="left" vertical="center"/>
    </xf>
    <xf numFmtId="0" fontId="53" fillId="0" borderId="0" xfId="0" applyFont="1" applyAlignment="1">
      <alignment horizontal="left" vertical="center" shrinkToFit="1"/>
    </xf>
    <xf numFmtId="0" fontId="53" fillId="0" borderId="0" xfId="0" applyFont="1" applyAlignment="1">
      <alignment horizontal="left" vertical="center"/>
    </xf>
    <xf numFmtId="0" fontId="50" fillId="0" borderId="0" xfId="0" applyFont="1" applyAlignment="1">
      <alignment horizontal="center" wrapText="1"/>
    </xf>
    <xf numFmtId="41" fontId="50" fillId="0" borderId="0" xfId="1" applyNumberFormat="1" applyFont="1" applyBorder="1" applyAlignment="1">
      <alignment horizontal="left" vertical="center"/>
    </xf>
    <xf numFmtId="0" fontId="50" fillId="0" borderId="0" xfId="0" applyFont="1" applyAlignment="1">
      <alignment vertical="center"/>
    </xf>
    <xf numFmtId="41" fontId="51" fillId="0" borderId="32" xfId="1" applyNumberFormat="1" applyFont="1" applyBorder="1" applyAlignment="1">
      <alignment horizontal="left" vertical="center"/>
    </xf>
    <xf numFmtId="9" fontId="2" fillId="0" borderId="0" xfId="2" applyFont="1" applyAlignment="1">
      <alignment vertical="center"/>
    </xf>
    <xf numFmtId="0" fontId="30" fillId="0" borderId="0" xfId="0" applyFont="1" applyAlignment="1">
      <alignment wrapText="1" shrinkToFit="1"/>
    </xf>
    <xf numFmtId="0" fontId="2" fillId="0" borderId="0" xfId="0" applyFont="1" applyAlignment="1">
      <alignment horizontal="center" wrapText="1" shrinkToFit="1"/>
    </xf>
    <xf numFmtId="0" fontId="2" fillId="0" borderId="0" xfId="0" applyFont="1" applyAlignment="1">
      <alignment wrapText="1" shrinkToFit="1"/>
    </xf>
    <xf numFmtId="0" fontId="43" fillId="0" borderId="0" xfId="0" applyFont="1" applyAlignment="1">
      <alignment horizontal="center" wrapText="1" shrinkToFit="1"/>
    </xf>
    <xf numFmtId="166" fontId="53" fillId="0" borderId="0" xfId="0" applyNumberFormat="1" applyFont="1" applyAlignment="1">
      <alignment horizontal="left" vertical="center"/>
    </xf>
    <xf numFmtId="169" fontId="3" fillId="0" borderId="0" xfId="0" applyNumberFormat="1" applyFont="1" applyAlignment="1">
      <alignment horizontal="center" vertical="center"/>
    </xf>
    <xf numFmtId="168" fontId="3" fillId="0" borderId="0" xfId="0" applyNumberFormat="1" applyFont="1" applyAlignment="1">
      <alignment horizontal="center" vertical="center"/>
    </xf>
    <xf numFmtId="0" fontId="2" fillId="0" borderId="0" xfId="0" applyFont="1" applyAlignment="1">
      <alignment horizontal="right" indent="1"/>
    </xf>
    <xf numFmtId="0" fontId="2" fillId="0" borderId="0" xfId="0" applyFont="1" applyAlignment="1">
      <alignment horizontal="right" vertical="center" shrinkToFit="1"/>
    </xf>
    <xf numFmtId="169" fontId="30" fillId="0" borderId="0" xfId="1" applyNumberFormat="1" applyFont="1" applyAlignment="1">
      <alignment horizontal="center" shrinkToFit="1"/>
    </xf>
    <xf numFmtId="6" fontId="2" fillId="0" borderId="0" xfId="0" applyNumberFormat="1" applyFont="1" applyAlignment="1">
      <alignment horizontal="left" vertical="center"/>
    </xf>
    <xf numFmtId="0" fontId="6" fillId="0" borderId="0" xfId="0" applyFont="1" applyAlignment="1">
      <alignment horizontal="left" vertical="center"/>
    </xf>
    <xf numFmtId="8" fontId="2" fillId="0" borderId="0" xfId="0" applyNumberFormat="1" applyFont="1" applyAlignment="1">
      <alignment horizontal="left" vertical="center"/>
    </xf>
    <xf numFmtId="9" fontId="6" fillId="0" borderId="0" xfId="0" applyNumberFormat="1" applyFont="1" applyAlignment="1">
      <alignment horizontal="left" vertical="center"/>
    </xf>
    <xf numFmtId="0" fontId="28" fillId="0" borderId="0" xfId="0" applyFont="1" applyAlignment="1">
      <alignment horizontal="right" vertical="center"/>
    </xf>
    <xf numFmtId="178" fontId="28" fillId="0" borderId="0" xfId="0" applyNumberFormat="1" applyFont="1" applyAlignment="1">
      <alignment horizontal="center" vertical="center"/>
    </xf>
    <xf numFmtId="9" fontId="2" fillId="0" borderId="0" xfId="2" applyFont="1" applyAlignment="1" applyProtection="1">
      <alignment horizontal="left" vertical="center"/>
    </xf>
    <xf numFmtId="41" fontId="2" fillId="2" borderId="15" xfId="1" applyNumberFormat="1" applyFont="1" applyFill="1" applyBorder="1" applyAlignment="1" applyProtection="1">
      <alignment horizontal="left" vertical="center"/>
      <protection locked="0"/>
    </xf>
    <xf numFmtId="169" fontId="50" fillId="0" borderId="0" xfId="0" applyNumberFormat="1" applyFont="1" applyAlignment="1">
      <alignment horizontal="center" shrinkToFit="1"/>
    </xf>
    <xf numFmtId="180" fontId="8" fillId="6" borderId="15" xfId="0" applyNumberFormat="1" applyFont="1" applyFill="1" applyBorder="1" applyAlignment="1">
      <alignment horizontal="center"/>
    </xf>
    <xf numFmtId="9" fontId="25" fillId="6" borderId="15" xfId="2" applyFont="1" applyFill="1" applyBorder="1" applyAlignment="1">
      <alignment horizontal="center"/>
    </xf>
    <xf numFmtId="192" fontId="2" fillId="0" borderId="0" xfId="2" applyNumberFormat="1" applyFont="1" applyAlignment="1">
      <alignment horizontal="center" shrinkToFit="1"/>
    </xf>
    <xf numFmtId="192" fontId="2" fillId="0" borderId="0" xfId="0" applyNumberFormat="1" applyFont="1" applyAlignment="1">
      <alignment horizontal="center" shrinkToFit="1"/>
    </xf>
    <xf numFmtId="41" fontId="50" fillId="0" borderId="0" xfId="1" applyNumberFormat="1" applyFont="1" applyFill="1" applyAlignment="1" applyProtection="1">
      <alignment horizontal="left" vertical="center"/>
    </xf>
    <xf numFmtId="0" fontId="41" fillId="0" borderId="0" xfId="0" applyFont="1" applyAlignment="1">
      <alignment vertical="center"/>
    </xf>
    <xf numFmtId="187" fontId="57" fillId="2" borderId="15" xfId="0" applyNumberFormat="1" applyFont="1" applyFill="1" applyBorder="1" applyAlignment="1" applyProtection="1">
      <alignment horizontal="center" vertical="center"/>
      <protection locked="0"/>
    </xf>
    <xf numFmtId="0" fontId="41" fillId="2" borderId="15" xfId="0" applyFont="1" applyFill="1" applyBorder="1" applyAlignment="1" applyProtection="1">
      <alignment horizontal="center" vertical="center"/>
      <protection locked="0"/>
    </xf>
    <xf numFmtId="164" fontId="57" fillId="2" borderId="15" xfId="0" applyNumberFormat="1" applyFont="1" applyFill="1" applyBorder="1" applyAlignment="1" applyProtection="1">
      <alignment horizontal="center" vertical="center" shrinkToFit="1"/>
      <protection locked="0"/>
    </xf>
    <xf numFmtId="9" fontId="57" fillId="2" borderId="15" xfId="0" applyNumberFormat="1" applyFont="1" applyFill="1" applyBorder="1" applyAlignment="1" applyProtection="1">
      <alignment horizontal="center" vertical="center" shrinkToFit="1"/>
      <protection locked="0"/>
    </xf>
    <xf numFmtId="169" fontId="59" fillId="2" borderId="15" xfId="0" applyNumberFormat="1" applyFont="1" applyFill="1" applyBorder="1" applyAlignment="1" applyProtection="1">
      <alignment horizontal="center" vertical="center" shrinkToFit="1"/>
      <protection locked="0"/>
    </xf>
    <xf numFmtId="168" fontId="59" fillId="2" borderId="15" xfId="0" applyNumberFormat="1" applyFont="1" applyFill="1" applyBorder="1" applyAlignment="1" applyProtection="1">
      <alignment horizontal="center" vertical="center" shrinkToFit="1"/>
      <protection locked="0"/>
    </xf>
    <xf numFmtId="1" fontId="2" fillId="2" borderId="15" xfId="0" applyNumberFormat="1" applyFont="1" applyFill="1" applyBorder="1" applyAlignment="1" applyProtection="1">
      <alignment horizontal="center" vertical="center" shrinkToFit="1"/>
      <protection locked="0"/>
    </xf>
    <xf numFmtId="176" fontId="26" fillId="2" borderId="15" xfId="0" applyNumberFormat="1" applyFont="1" applyFill="1" applyBorder="1" applyAlignment="1" applyProtection="1">
      <alignment horizontal="center" shrinkToFit="1"/>
      <protection locked="0"/>
    </xf>
    <xf numFmtId="0" fontId="23" fillId="0" borderId="0" xfId="0" applyFont="1" applyAlignment="1">
      <alignment horizontal="right" vertical="center"/>
    </xf>
    <xf numFmtId="9" fontId="22" fillId="0" borderId="0" xfId="2" applyFont="1" applyBorder="1" applyAlignment="1">
      <alignment horizontal="center" vertical="top"/>
    </xf>
    <xf numFmtId="0" fontId="8" fillId="0" borderId="0" xfId="0" applyFont="1" applyAlignment="1">
      <alignment horizontal="left" indent="2"/>
    </xf>
    <xf numFmtId="0" fontId="60" fillId="0" borderId="0" xfId="0" applyFont="1" applyAlignment="1">
      <alignment vertical="center"/>
    </xf>
    <xf numFmtId="0" fontId="61" fillId="0" borderId="0" xfId="0" applyFont="1" applyAlignment="1">
      <alignment horizontal="right" vertical="center"/>
    </xf>
    <xf numFmtId="178" fontId="58" fillId="2" borderId="15" xfId="0" applyNumberFormat="1" applyFont="1" applyFill="1" applyBorder="1" applyAlignment="1" applyProtection="1">
      <alignment horizontal="center" vertical="center"/>
      <protection locked="0"/>
    </xf>
    <xf numFmtId="6" fontId="2" fillId="3" borderId="0" xfId="0" applyNumberFormat="1" applyFont="1" applyFill="1" applyAlignment="1" applyProtection="1">
      <alignment horizontal="left" vertical="center"/>
      <protection locked="0"/>
    </xf>
    <xf numFmtId="0" fontId="6" fillId="3" borderId="0" xfId="0" applyFont="1" applyFill="1" applyAlignment="1" applyProtection="1">
      <alignment horizontal="left" vertical="center"/>
      <protection locked="0"/>
    </xf>
    <xf numFmtId="0" fontId="56" fillId="3" borderId="0" xfId="0" applyFont="1" applyFill="1" applyAlignment="1" applyProtection="1">
      <alignment horizontal="left" vertical="center"/>
      <protection locked="0"/>
    </xf>
    <xf numFmtId="0" fontId="2" fillId="3" borderId="0" xfId="0" applyFont="1" applyFill="1" applyAlignment="1" applyProtection="1">
      <alignment horizontal="left" vertical="center"/>
      <protection locked="0"/>
    </xf>
    <xf numFmtId="0" fontId="29" fillId="0" borderId="0" xfId="0" applyFont="1" applyAlignment="1">
      <alignment horizontal="left" vertical="center"/>
    </xf>
    <xf numFmtId="6" fontId="27" fillId="0" borderId="0" xfId="0" applyNumberFormat="1" applyFont="1" applyAlignment="1">
      <alignment horizontal="center" vertical="center" shrinkToFit="1"/>
    </xf>
    <xf numFmtId="6" fontId="2" fillId="0" borderId="0" xfId="0" applyNumberFormat="1" applyFont="1" applyAlignment="1">
      <alignment horizontal="right" vertical="center"/>
    </xf>
    <xf numFmtId="185" fontId="2" fillId="0" borderId="0" xfId="0" applyNumberFormat="1" applyFont="1" applyAlignment="1">
      <alignment horizontal="center" vertical="center"/>
    </xf>
    <xf numFmtId="6" fontId="2" fillId="0" borderId="2" xfId="0" applyNumberFormat="1" applyFont="1" applyBorder="1" applyAlignment="1">
      <alignment horizontal="left" vertical="center" shrinkToFit="1"/>
    </xf>
    <xf numFmtId="194" fontId="42" fillId="0" borderId="2" xfId="0" applyNumberFormat="1" applyFont="1" applyBorder="1" applyAlignment="1">
      <alignment horizontal="center" vertical="center" shrinkToFit="1"/>
    </xf>
    <xf numFmtId="178" fontId="27" fillId="0" borderId="0" xfId="0" applyNumberFormat="1" applyFont="1" applyAlignment="1">
      <alignment horizontal="center" vertical="center"/>
    </xf>
    <xf numFmtId="185" fontId="2" fillId="0" borderId="0" xfId="0" applyNumberFormat="1" applyFont="1" applyAlignment="1">
      <alignment horizontal="right" vertical="center"/>
    </xf>
    <xf numFmtId="171" fontId="28" fillId="0" borderId="0" xfId="0" applyNumberFormat="1" applyFont="1" applyAlignment="1">
      <alignment horizontal="center" vertical="center"/>
    </xf>
    <xf numFmtId="192" fontId="2" fillId="0" borderId="0" xfId="2" applyNumberFormat="1" applyFont="1" applyAlignment="1" applyProtection="1">
      <alignment horizontal="left" vertical="center"/>
    </xf>
    <xf numFmtId="0" fontId="60" fillId="0" borderId="0" xfId="0" applyFont="1" applyAlignment="1">
      <alignment horizontal="right" vertical="center"/>
    </xf>
    <xf numFmtId="6" fontId="2" fillId="0" borderId="0" xfId="0" applyNumberFormat="1" applyFont="1" applyAlignment="1">
      <alignment horizontal="center" vertical="center"/>
    </xf>
    <xf numFmtId="0" fontId="62" fillId="0" borderId="0" xfId="0" applyFont="1" applyAlignment="1">
      <alignment horizontal="right" vertical="center"/>
    </xf>
    <xf numFmtId="0" fontId="6" fillId="0" borderId="0" xfId="0" applyFont="1" applyAlignment="1">
      <alignment horizontal="right" vertical="center"/>
    </xf>
    <xf numFmtId="0" fontId="66" fillId="0" borderId="0" xfId="0" applyFont="1" applyAlignment="1">
      <alignment horizontal="left"/>
    </xf>
    <xf numFmtId="0" fontId="67" fillId="0" borderId="0" xfId="0" applyFont="1"/>
    <xf numFmtId="0" fontId="67" fillId="0" borderId="0" xfId="0" applyFont="1" applyAlignment="1">
      <alignment horizontal="left"/>
    </xf>
    <xf numFmtId="0" fontId="67" fillId="0" borderId="0" xfId="0" applyFont="1" applyAlignment="1">
      <alignment horizontal="right"/>
    </xf>
    <xf numFmtId="0" fontId="67" fillId="0" borderId="33" xfId="0" applyFont="1" applyBorder="1" applyAlignment="1">
      <alignment horizontal="right"/>
    </xf>
    <xf numFmtId="0" fontId="67" fillId="0" borderId="34" xfId="0" applyFont="1" applyBorder="1" applyAlignment="1">
      <alignment horizontal="center"/>
    </xf>
    <xf numFmtId="0" fontId="67" fillId="0" borderId="35" xfId="0" applyFont="1" applyBorder="1" applyAlignment="1">
      <alignment horizontal="right"/>
    </xf>
    <xf numFmtId="0" fontId="70" fillId="0" borderId="36" xfId="3" applyFont="1" applyFill="1" applyBorder="1" applyAlignment="1">
      <alignment horizontal="center"/>
    </xf>
    <xf numFmtId="0" fontId="67" fillId="0" borderId="37" xfId="0" applyFont="1" applyBorder="1" applyAlignment="1">
      <alignment horizontal="right"/>
    </xf>
    <xf numFmtId="0" fontId="67" fillId="0" borderId="38" xfId="0" applyFont="1" applyBorder="1" applyAlignment="1">
      <alignment horizontal="center"/>
    </xf>
    <xf numFmtId="188" fontId="2" fillId="0" borderId="0" xfId="0" applyNumberFormat="1" applyFont="1" applyAlignment="1">
      <alignment horizontal="center" vertical="center"/>
    </xf>
    <xf numFmtId="189" fontId="2" fillId="0" borderId="0" xfId="0" applyNumberFormat="1" applyFont="1" applyAlignment="1">
      <alignment horizontal="center" vertical="center"/>
    </xf>
    <xf numFmtId="178" fontId="2" fillId="0" borderId="0" xfId="0" applyNumberFormat="1" applyFont="1" applyAlignment="1">
      <alignment horizontal="center" vertical="center"/>
    </xf>
    <xf numFmtId="188" fontId="2" fillId="0" borderId="0" xfId="0" applyNumberFormat="1" applyFont="1" applyAlignment="1">
      <alignment horizontal="left" vertical="center"/>
    </xf>
    <xf numFmtId="2" fontId="2" fillId="0" borderId="0" xfId="0" applyNumberFormat="1" applyFont="1" applyAlignment="1">
      <alignment horizontal="center" vertical="center"/>
    </xf>
    <xf numFmtId="186" fontId="2" fillId="0" borderId="0" xfId="0" applyNumberFormat="1" applyFont="1" applyAlignment="1">
      <alignment horizontal="right" vertical="center"/>
    </xf>
    <xf numFmtId="188" fontId="41" fillId="2" borderId="15" xfId="0" applyNumberFormat="1" applyFont="1" applyFill="1" applyBorder="1" applyAlignment="1" applyProtection="1">
      <alignment horizontal="center" vertical="center" shrinkToFit="1"/>
      <protection locked="0"/>
    </xf>
    <xf numFmtId="196" fontId="2" fillId="0" borderId="0" xfId="0" applyNumberFormat="1" applyFont="1" applyAlignment="1">
      <alignment horizontal="left" vertical="center" shrinkToFit="1"/>
    </xf>
    <xf numFmtId="197" fontId="2" fillId="0" borderId="0" xfId="0" applyNumberFormat="1" applyFont="1" applyAlignment="1">
      <alignment horizontal="left" vertical="center" shrinkToFit="1"/>
    </xf>
    <xf numFmtId="198" fontId="57" fillId="2" borderId="15" xfId="2" applyNumberFormat="1" applyFont="1" applyFill="1" applyBorder="1" applyAlignment="1" applyProtection="1">
      <alignment horizontal="center" vertical="center" shrinkToFit="1"/>
      <protection locked="0"/>
    </xf>
    <xf numFmtId="188" fontId="2" fillId="5" borderId="0" xfId="0" applyNumberFormat="1" applyFont="1" applyFill="1" applyAlignment="1">
      <alignment horizontal="center" vertical="center"/>
    </xf>
    <xf numFmtId="188" fontId="2" fillId="0" borderId="0" xfId="2" applyNumberFormat="1" applyFont="1" applyFill="1" applyAlignment="1">
      <alignment horizontal="center" vertical="center" shrinkToFit="1"/>
    </xf>
    <xf numFmtId="200" fontId="2" fillId="0" borderId="0" xfId="2" applyNumberFormat="1" applyFont="1" applyFill="1" applyAlignment="1">
      <alignment horizontal="center" vertical="center" shrinkToFit="1"/>
    </xf>
    <xf numFmtId="0" fontId="40" fillId="0" borderId="0" xfId="0" applyFont="1" applyAlignment="1">
      <alignment shrinkToFit="1"/>
    </xf>
    <xf numFmtId="167" fontId="3" fillId="0" borderId="14" xfId="0" applyNumberFormat="1" applyFont="1" applyBorder="1" applyAlignment="1">
      <alignment horizontal="center" vertical="center"/>
    </xf>
    <xf numFmtId="0" fontId="3" fillId="0" borderId="14" xfId="0" applyFont="1" applyBorder="1" applyAlignment="1">
      <alignment horizontal="center" vertical="center"/>
    </xf>
    <xf numFmtId="167" fontId="2" fillId="0" borderId="14" xfId="0" applyNumberFormat="1" applyFont="1" applyBorder="1" applyAlignment="1">
      <alignment horizontal="center" vertical="center"/>
    </xf>
    <xf numFmtId="0" fontId="3" fillId="0" borderId="14" xfId="0" applyFont="1" applyBorder="1" applyAlignment="1">
      <alignment horizontal="center" vertical="center" shrinkToFit="1"/>
    </xf>
    <xf numFmtId="0" fontId="2" fillId="0" borderId="14" xfId="0" applyFont="1" applyBorder="1" applyAlignment="1">
      <alignment horizontal="center" vertical="center"/>
    </xf>
    <xf numFmtId="185" fontId="2" fillId="0" borderId="39" xfId="0" applyNumberFormat="1" applyFont="1" applyBorder="1" applyAlignment="1">
      <alignment horizontal="center"/>
    </xf>
    <xf numFmtId="0" fontId="2" fillId="0" borderId="39" xfId="0" applyFont="1" applyBorder="1" applyAlignment="1">
      <alignment horizontal="center"/>
    </xf>
    <xf numFmtId="174" fontId="2" fillId="0" borderId="41" xfId="0" applyNumberFormat="1" applyFont="1" applyBorder="1" applyAlignment="1">
      <alignment horizontal="center" vertical="top"/>
    </xf>
    <xf numFmtId="199" fontId="2" fillId="0" borderId="40" xfId="1" applyNumberFormat="1" applyFont="1" applyBorder="1" applyAlignment="1" applyProtection="1">
      <alignment horizontal="center" vertical="top"/>
    </xf>
    <xf numFmtId="169" fontId="39" fillId="0" borderId="19" xfId="0" applyNumberFormat="1" applyFont="1" applyBorder="1" applyAlignment="1">
      <alignment horizontal="right" vertical="center" indent="1" shrinkToFit="1"/>
    </xf>
    <xf numFmtId="202" fontId="44" fillId="0" borderId="21" xfId="0" applyNumberFormat="1" applyFont="1" applyBorder="1" applyAlignment="1">
      <alignment horizontal="right" vertical="center" indent="1" shrinkToFit="1"/>
    </xf>
    <xf numFmtId="201" fontId="44" fillId="0" borderId="21" xfId="0" applyNumberFormat="1" applyFont="1" applyBorder="1" applyAlignment="1">
      <alignment horizontal="right" vertical="center" indent="1" shrinkToFit="1"/>
    </xf>
    <xf numFmtId="169" fontId="65" fillId="0" borderId="21" xfId="0" applyNumberFormat="1" applyFont="1" applyBorder="1" applyAlignment="1">
      <alignment horizontal="right" vertical="center" indent="1" shrinkToFit="1"/>
    </xf>
    <xf numFmtId="0" fontId="2" fillId="0" borderId="0" xfId="0" applyFont="1" applyAlignment="1">
      <alignment horizontal="left" vertical="center" indent="2" shrinkToFit="1"/>
    </xf>
    <xf numFmtId="0" fontId="64" fillId="0" borderId="0" xfId="0" applyFont="1" applyAlignment="1">
      <alignment horizontal="center" shrinkToFit="1"/>
    </xf>
    <xf numFmtId="167" fontId="6" fillId="0" borderId="0" xfId="0" applyNumberFormat="1" applyFont="1" applyAlignment="1">
      <alignment horizontal="center" shrinkToFit="1"/>
    </xf>
    <xf numFmtId="0" fontId="6" fillId="0" borderId="0" xfId="0" applyFont="1" applyAlignment="1">
      <alignment horizontal="center" shrinkToFit="1"/>
    </xf>
    <xf numFmtId="6" fontId="6" fillId="0" borderId="0" xfId="0" applyNumberFormat="1" applyFont="1" applyAlignment="1">
      <alignment horizontal="center" shrinkToFit="1"/>
    </xf>
    <xf numFmtId="8" fontId="6" fillId="0" borderId="0" xfId="0" applyNumberFormat="1" applyFont="1" applyAlignment="1">
      <alignment horizontal="center" shrinkToFit="1"/>
    </xf>
    <xf numFmtId="169" fontId="6" fillId="0" borderId="0" xfId="0" applyNumberFormat="1" applyFont="1" applyAlignment="1">
      <alignment horizontal="center" shrinkToFit="1"/>
    </xf>
    <xf numFmtId="169" fontId="6" fillId="0" borderId="2" xfId="0" applyNumberFormat="1" applyFont="1" applyBorder="1" applyAlignment="1">
      <alignment horizontal="center" shrinkToFit="1"/>
    </xf>
    <xf numFmtId="0" fontId="6" fillId="0" borderId="0" xfId="0" applyFont="1" applyAlignment="1">
      <alignment shrinkToFit="1"/>
    </xf>
    <xf numFmtId="0" fontId="73" fillId="0" borderId="0" xfId="0" applyFont="1" applyAlignment="1">
      <alignment shrinkToFit="1"/>
    </xf>
    <xf numFmtId="0" fontId="28" fillId="0" borderId="0" xfId="0" applyFont="1" applyAlignment="1">
      <alignment horizontal="left" indent="2" shrinkToFit="1"/>
    </xf>
    <xf numFmtId="167" fontId="28" fillId="0" borderId="0" xfId="0" applyNumberFormat="1" applyFont="1" applyAlignment="1">
      <alignment horizontal="center" shrinkToFit="1"/>
    </xf>
    <xf numFmtId="9" fontId="28" fillId="0" borderId="0" xfId="0" applyNumberFormat="1" applyFont="1" applyAlignment="1">
      <alignment horizontal="center" shrinkToFit="1"/>
    </xf>
    <xf numFmtId="0" fontId="73" fillId="0" borderId="0" xfId="0" applyFont="1"/>
    <xf numFmtId="0" fontId="74" fillId="0" borderId="0" xfId="0" applyFont="1" applyAlignment="1">
      <alignment horizontal="left"/>
    </xf>
    <xf numFmtId="0" fontId="6" fillId="0" borderId="0" xfId="0" applyFont="1" applyAlignment="1">
      <alignment horizontal="center" wrapText="1" shrinkToFit="1"/>
    </xf>
    <xf numFmtId="9" fontId="6" fillId="0" borderId="0" xfId="2" applyFont="1" applyAlignment="1">
      <alignment horizontal="center" shrinkToFit="1"/>
    </xf>
    <xf numFmtId="9" fontId="75" fillId="0" borderId="0" xfId="2" applyFont="1" applyFill="1" applyAlignment="1">
      <alignment horizontal="center" vertical="center" shrinkToFit="1"/>
    </xf>
    <xf numFmtId="0" fontId="49" fillId="0" borderId="0" xfId="0" applyFont="1" applyAlignment="1">
      <alignment horizontal="left" vertical="center" indent="4" shrinkToFit="1"/>
    </xf>
    <xf numFmtId="0" fontId="76" fillId="0" borderId="0" xfId="0" applyFont="1" applyAlignment="1">
      <alignment horizontal="right" vertical="center"/>
    </xf>
    <xf numFmtId="9" fontId="6" fillId="5" borderId="19" xfId="2" applyFont="1" applyFill="1" applyBorder="1" applyAlignment="1">
      <alignment horizontal="right" vertical="center" indent="1" shrinkToFit="1"/>
    </xf>
    <xf numFmtId="201" fontId="6" fillId="5" borderId="21" xfId="0" applyNumberFormat="1" applyFont="1" applyFill="1" applyBorder="1" applyAlignment="1">
      <alignment horizontal="right" vertical="center" indent="1" shrinkToFit="1"/>
    </xf>
    <xf numFmtId="169" fontId="41" fillId="5" borderId="21" xfId="0" applyNumberFormat="1" applyFont="1" applyFill="1" applyBorder="1" applyAlignment="1">
      <alignment horizontal="right" vertical="center" indent="1" shrinkToFit="1"/>
    </xf>
    <xf numFmtId="201" fontId="8" fillId="0" borderId="0" xfId="0" applyNumberFormat="1" applyFont="1" applyAlignment="1">
      <alignment horizontal="center"/>
    </xf>
    <xf numFmtId="203" fontId="8" fillId="0" borderId="0" xfId="0" applyNumberFormat="1" applyFont="1" applyAlignment="1">
      <alignment horizontal="center"/>
    </xf>
    <xf numFmtId="204" fontId="8" fillId="0" borderId="0" xfId="0" applyNumberFormat="1" applyFont="1" applyAlignment="1">
      <alignment horizontal="center"/>
    </xf>
    <xf numFmtId="205" fontId="2" fillId="0" borderId="0" xfId="0" applyNumberFormat="1" applyFont="1" applyAlignment="1">
      <alignment horizontal="left" vertical="center"/>
    </xf>
    <xf numFmtId="205" fontId="2" fillId="2" borderId="15" xfId="2" applyNumberFormat="1" applyFont="1" applyFill="1" applyBorder="1" applyAlignment="1" applyProtection="1">
      <alignment horizontal="center" vertical="center"/>
      <protection locked="0"/>
    </xf>
    <xf numFmtId="166" fontId="8" fillId="0" borderId="0" xfId="1" applyNumberFormat="1" applyFont="1"/>
    <xf numFmtId="169" fontId="8" fillId="0" borderId="0" xfId="0" applyNumberFormat="1" applyFont="1"/>
    <xf numFmtId="166" fontId="8" fillId="0" borderId="0" xfId="0" applyNumberFormat="1" applyFont="1"/>
    <xf numFmtId="9" fontId="8" fillId="0" borderId="0" xfId="0" applyNumberFormat="1" applyFont="1"/>
    <xf numFmtId="166" fontId="8" fillId="0" borderId="0" xfId="1" applyNumberFormat="1" applyFont="1" applyAlignment="1">
      <alignment horizontal="right"/>
    </xf>
    <xf numFmtId="0" fontId="10" fillId="0" borderId="0" xfId="0" applyFont="1"/>
    <xf numFmtId="178" fontId="8" fillId="0" borderId="0" xfId="0" applyNumberFormat="1" applyFont="1" applyAlignment="1">
      <alignment horizontal="right"/>
    </xf>
    <xf numFmtId="43" fontId="8" fillId="0" borderId="0" xfId="1" applyFont="1" applyBorder="1" applyAlignment="1">
      <alignment horizontal="right"/>
    </xf>
    <xf numFmtId="0" fontId="8" fillId="0" borderId="2" xfId="0" applyFont="1" applyBorder="1"/>
    <xf numFmtId="166" fontId="8" fillId="0" borderId="2" xfId="1" applyNumberFormat="1" applyFont="1" applyBorder="1"/>
    <xf numFmtId="182" fontId="8" fillId="0" borderId="2" xfId="0" applyNumberFormat="1" applyFont="1" applyBorder="1" applyAlignment="1">
      <alignment horizontal="center"/>
    </xf>
    <xf numFmtId="0" fontId="81" fillId="0" borderId="0" xfId="0" applyFont="1" applyAlignment="1">
      <alignment horizontal="left" shrinkToFit="1"/>
    </xf>
    <xf numFmtId="0" fontId="81" fillId="0" borderId="0" xfId="0" applyFont="1" applyAlignment="1">
      <alignment shrinkToFit="1"/>
    </xf>
    <xf numFmtId="167" fontId="36" fillId="0" borderId="0" xfId="0" applyNumberFormat="1" applyFont="1" applyAlignment="1">
      <alignment horizontal="center"/>
    </xf>
    <xf numFmtId="9" fontId="81" fillId="0" borderId="0" xfId="2" applyFont="1" applyFill="1" applyAlignment="1">
      <alignment horizontal="center" vertical="center" shrinkToFit="1"/>
    </xf>
    <xf numFmtId="0" fontId="82" fillId="0" borderId="0" xfId="0" applyFont="1" applyAlignment="1">
      <alignment horizontal="left" vertical="center" shrinkToFit="1"/>
    </xf>
    <xf numFmtId="167" fontId="33" fillId="0" borderId="0" xfId="0" applyNumberFormat="1" applyFont="1" applyAlignment="1" applyProtection="1">
      <alignment horizontal="center"/>
      <protection locked="0"/>
    </xf>
    <xf numFmtId="0" fontId="81" fillId="0" borderId="0" xfId="0" applyFont="1" applyAlignment="1" applyProtection="1">
      <alignment horizontal="center" shrinkToFit="1"/>
      <protection locked="0"/>
    </xf>
    <xf numFmtId="191" fontId="81" fillId="0" borderId="0" xfId="0" applyNumberFormat="1" applyFont="1" applyAlignment="1" applyProtection="1">
      <alignment horizontal="center" shrinkToFit="1"/>
      <protection locked="0"/>
    </xf>
    <xf numFmtId="9" fontId="39" fillId="0" borderId="0" xfId="0" applyNumberFormat="1" applyFont="1" applyAlignment="1">
      <alignment horizontal="center" shrinkToFit="1"/>
    </xf>
    <xf numFmtId="207" fontId="2" fillId="0" borderId="0" xfId="0" applyNumberFormat="1" applyFont="1" applyAlignment="1">
      <alignment horizontal="left" vertical="center"/>
    </xf>
    <xf numFmtId="9" fontId="79" fillId="0" borderId="0" xfId="2" applyFont="1" applyAlignment="1">
      <alignment horizontal="center" vertical="center" shrinkToFit="1"/>
    </xf>
    <xf numFmtId="9" fontId="57" fillId="0" borderId="0" xfId="2" applyFont="1" applyAlignment="1">
      <alignment horizontal="right" vertical="center" indent="2" shrinkToFit="1"/>
    </xf>
    <xf numFmtId="9" fontId="57" fillId="0" borderId="42" xfId="2" applyFont="1" applyBorder="1" applyAlignment="1">
      <alignment horizontal="right" vertical="center" indent="2" shrinkToFit="1"/>
    </xf>
    <xf numFmtId="9" fontId="57" fillId="0" borderId="0" xfId="2" applyFont="1" applyBorder="1" applyAlignment="1">
      <alignment horizontal="right" vertical="center" indent="2" shrinkToFit="1"/>
    </xf>
    <xf numFmtId="206" fontId="57" fillId="0" borderId="0" xfId="2" applyNumberFormat="1" applyFont="1" applyAlignment="1">
      <alignment horizontal="right" vertical="center" indent="2" shrinkToFit="1"/>
    </xf>
    <xf numFmtId="169" fontId="57" fillId="0" borderId="0" xfId="2" applyNumberFormat="1" applyFont="1" applyAlignment="1">
      <alignment horizontal="right" vertical="center" indent="2" shrinkToFit="1"/>
    </xf>
    <xf numFmtId="9" fontId="57" fillId="0" borderId="0" xfId="2" applyFont="1" applyAlignment="1">
      <alignment horizontal="left" vertical="center" indent="2" shrinkToFit="1"/>
    </xf>
    <xf numFmtId="9" fontId="57" fillId="0" borderId="25" xfId="2" applyFont="1" applyBorder="1" applyAlignment="1">
      <alignment horizontal="left" vertical="center" indent="2" shrinkToFit="1"/>
    </xf>
    <xf numFmtId="9" fontId="44" fillId="0" borderId="0" xfId="2" applyFont="1" applyAlignment="1">
      <alignment horizontal="left" vertical="top" wrapText="1" indent="1"/>
    </xf>
    <xf numFmtId="165" fontId="78" fillId="0" borderId="0" xfId="0" applyNumberFormat="1" applyFont="1" applyAlignment="1">
      <alignment horizontal="center" vertical="center" shrinkToFit="1"/>
    </xf>
    <xf numFmtId="0" fontId="37" fillId="5" borderId="26" xfId="0" applyFont="1" applyFill="1" applyBorder="1" applyAlignment="1">
      <alignment horizontal="center" vertical="center"/>
    </xf>
    <xf numFmtId="0" fontId="37" fillId="5" borderId="23" xfId="0" applyFont="1" applyFill="1" applyBorder="1" applyAlignment="1">
      <alignment horizontal="center" vertical="center"/>
    </xf>
    <xf numFmtId="0" fontId="37" fillId="5" borderId="27" xfId="0" applyFont="1" applyFill="1" applyBorder="1" applyAlignment="1">
      <alignment horizontal="center" vertical="center"/>
    </xf>
    <xf numFmtId="0" fontId="37" fillId="5" borderId="28" xfId="0" applyFont="1" applyFill="1" applyBorder="1" applyAlignment="1">
      <alignment horizontal="center" vertical="center"/>
    </xf>
    <xf numFmtId="0" fontId="37" fillId="5" borderId="22" xfId="0" applyFont="1" applyFill="1" applyBorder="1" applyAlignment="1">
      <alignment horizontal="center" vertical="center"/>
    </xf>
    <xf numFmtId="0" fontId="37" fillId="5" borderId="29" xfId="0" applyFont="1" applyFill="1" applyBorder="1" applyAlignment="1">
      <alignment horizontal="center" vertical="center"/>
    </xf>
    <xf numFmtId="9" fontId="41" fillId="0" borderId="26" xfId="2" applyFont="1" applyBorder="1" applyAlignment="1">
      <alignment horizontal="right" indent="1" shrinkToFit="1"/>
    </xf>
    <xf numFmtId="9" fontId="41" fillId="0" borderId="27" xfId="2" applyFont="1" applyBorder="1" applyAlignment="1">
      <alignment horizontal="right" indent="1" shrinkToFit="1"/>
    </xf>
    <xf numFmtId="9" fontId="41" fillId="0" borderId="28" xfId="2" applyFont="1" applyBorder="1" applyAlignment="1">
      <alignment horizontal="right" vertical="top" indent="1" shrinkToFit="1"/>
    </xf>
    <xf numFmtId="9" fontId="41" fillId="0" borderId="29" xfId="2" applyFont="1" applyBorder="1" applyAlignment="1">
      <alignment horizontal="right" vertical="top" indent="1" shrinkToFit="1"/>
    </xf>
    <xf numFmtId="0" fontId="44" fillId="0" borderId="30" xfId="0" applyFont="1" applyBorder="1" applyAlignment="1">
      <alignment horizontal="center" vertical="center" wrapText="1" shrinkToFit="1"/>
    </xf>
    <xf numFmtId="0" fontId="44" fillId="0" borderId="43" xfId="0" applyFont="1" applyBorder="1" applyAlignment="1">
      <alignment horizontal="center" vertical="center" wrapText="1" shrinkToFit="1"/>
    </xf>
    <xf numFmtId="0" fontId="44" fillId="0" borderId="31" xfId="0" applyFont="1" applyBorder="1" applyAlignment="1">
      <alignment horizontal="center" vertical="center" wrapText="1" shrinkToFit="1"/>
    </xf>
    <xf numFmtId="0" fontId="41" fillId="0" borderId="30" xfId="0" applyFont="1" applyBorder="1" applyAlignment="1">
      <alignment horizontal="right" indent="1" shrinkToFit="1"/>
    </xf>
    <xf numFmtId="0" fontId="41" fillId="0" borderId="28" xfId="0" applyFont="1" applyBorder="1" applyAlignment="1">
      <alignment horizontal="right" vertical="top" indent="1" shrinkToFit="1"/>
    </xf>
    <xf numFmtId="0" fontId="41" fillId="0" borderId="29" xfId="0" applyFont="1" applyBorder="1" applyAlignment="1">
      <alignment horizontal="right" vertical="top" indent="1" shrinkToFit="1"/>
    </xf>
    <xf numFmtId="0" fontId="44" fillId="0" borderId="0" xfId="0" applyFont="1" applyAlignment="1">
      <alignment horizontal="left" vertical="top" wrapText="1" shrinkToFit="1"/>
    </xf>
    <xf numFmtId="6" fontId="2" fillId="0" borderId="0" xfId="0" applyNumberFormat="1" applyFont="1" applyAlignment="1">
      <alignment horizontal="center" vertical="center" wrapText="1" shrinkToFit="1"/>
    </xf>
    <xf numFmtId="6" fontId="27" fillId="0" borderId="0" xfId="0" applyNumberFormat="1" applyFont="1" applyAlignment="1">
      <alignment horizontal="center" vertical="center" wrapText="1" shrinkToFit="1"/>
    </xf>
    <xf numFmtId="0" fontId="2" fillId="2" borderId="15" xfId="0" applyFont="1" applyFill="1" applyBorder="1" applyAlignment="1" applyProtection="1">
      <alignment horizontal="center" vertical="center" shrinkToFit="1"/>
      <protection locked="0"/>
    </xf>
    <xf numFmtId="43" fontId="2" fillId="2" borderId="19" xfId="1" applyFont="1" applyFill="1" applyBorder="1" applyAlignment="1" applyProtection="1">
      <alignment horizontal="left" vertical="center" shrinkToFit="1"/>
      <protection locked="0"/>
    </xf>
    <xf numFmtId="43" fontId="2" fillId="2" borderId="21" xfId="1" applyFont="1" applyFill="1" applyBorder="1" applyAlignment="1" applyProtection="1">
      <alignment horizontal="left" vertical="center" shrinkToFit="1"/>
      <protection locked="0"/>
    </xf>
    <xf numFmtId="43" fontId="2" fillId="2" borderId="19" xfId="1" applyFont="1" applyFill="1" applyBorder="1" applyAlignment="1" applyProtection="1">
      <alignment horizontal="center" vertical="center" shrinkToFit="1"/>
      <protection locked="0"/>
    </xf>
    <xf numFmtId="43" fontId="2" fillId="2" borderId="21" xfId="1" applyFont="1" applyFill="1" applyBorder="1" applyAlignment="1" applyProtection="1">
      <alignment horizontal="center" vertical="center" shrinkToFit="1"/>
      <protection locked="0"/>
    </xf>
    <xf numFmtId="0" fontId="2" fillId="0" borderId="0" xfId="0" applyFont="1" applyAlignment="1">
      <alignment horizontal="right" vertical="center" indent="1" shrinkToFit="1"/>
    </xf>
    <xf numFmtId="0" fontId="2" fillId="0" borderId="25" xfId="0" applyFont="1" applyBorder="1" applyAlignment="1">
      <alignment horizontal="right" vertical="center" indent="1" shrinkToFit="1"/>
    </xf>
    <xf numFmtId="0" fontId="41" fillId="0" borderId="0" xfId="0" applyFont="1" applyAlignment="1">
      <alignment horizontal="left" vertical="center"/>
    </xf>
    <xf numFmtId="0" fontId="2" fillId="0" borderId="26" xfId="0" applyFont="1" applyBorder="1" applyAlignment="1">
      <alignment horizontal="center"/>
    </xf>
    <xf numFmtId="0" fontId="2" fillId="0" borderId="27" xfId="0" applyFont="1" applyBorder="1" applyAlignment="1">
      <alignment horizontal="center"/>
    </xf>
    <xf numFmtId="0" fontId="2" fillId="0" borderId="28" xfId="0" applyFont="1" applyBorder="1" applyAlignment="1">
      <alignment horizontal="center"/>
    </xf>
    <xf numFmtId="0" fontId="2" fillId="0" borderId="29" xfId="0" applyFont="1" applyBorder="1" applyAlignment="1">
      <alignment horizontal="center"/>
    </xf>
    <xf numFmtId="0" fontId="2" fillId="0" borderId="15" xfId="0" applyFont="1" applyBorder="1" applyAlignment="1">
      <alignment horizontal="center" wrapText="1"/>
    </xf>
    <xf numFmtId="0" fontId="2" fillId="0" borderId="30" xfId="0" applyFont="1" applyBorder="1" applyAlignment="1">
      <alignment horizontal="center" wrapText="1"/>
    </xf>
    <xf numFmtId="0" fontId="2" fillId="0" borderId="31" xfId="0" applyFont="1" applyBorder="1" applyAlignment="1">
      <alignment horizontal="center"/>
    </xf>
    <xf numFmtId="0" fontId="43" fillId="0" borderId="15" xfId="0" applyFont="1" applyBorder="1" applyAlignment="1">
      <alignment horizontal="center" wrapText="1"/>
    </xf>
    <xf numFmtId="0" fontId="44" fillId="0" borderId="0" xfId="0" applyFont="1" applyAlignment="1">
      <alignment horizontal="left" vertical="top" wrapText="1"/>
    </xf>
    <xf numFmtId="0" fontId="53" fillId="0" borderId="0" xfId="0" applyFont="1" applyAlignment="1">
      <alignment horizontal="center" vertical="center" shrinkToFit="1"/>
    </xf>
    <xf numFmtId="0" fontId="40" fillId="2" borderId="19" xfId="0" applyFont="1" applyFill="1" applyBorder="1" applyAlignment="1" applyProtection="1">
      <alignment horizontal="center" shrinkToFit="1"/>
      <protection locked="0"/>
    </xf>
    <xf numFmtId="0" fontId="40" fillId="2" borderId="20" xfId="0" applyFont="1" applyFill="1" applyBorder="1" applyAlignment="1" applyProtection="1">
      <alignment horizontal="center" shrinkToFit="1"/>
      <protection locked="0"/>
    </xf>
    <xf numFmtId="0" fontId="40" fillId="2" borderId="21" xfId="0" applyFont="1" applyFill="1" applyBorder="1" applyAlignment="1" applyProtection="1">
      <alignment horizontal="center" shrinkToFit="1"/>
      <protection locked="0"/>
    </xf>
    <xf numFmtId="9" fontId="63" fillId="0" borderId="23" xfId="0" applyNumberFormat="1" applyFont="1" applyBorder="1" applyAlignment="1">
      <alignment horizontal="center" vertical="top" shrinkToFit="1"/>
    </xf>
    <xf numFmtId="0" fontId="41" fillId="0" borderId="0" xfId="0" applyFont="1" applyAlignment="1">
      <alignment horizontal="left" vertical="center" shrinkToFit="1"/>
    </xf>
    <xf numFmtId="0" fontId="58" fillId="2" borderId="19" xfId="0" applyFont="1" applyFill="1" applyBorder="1" applyAlignment="1" applyProtection="1">
      <alignment horizontal="center" vertical="center" shrinkToFit="1"/>
      <protection locked="0"/>
    </xf>
    <xf numFmtId="0" fontId="58" fillId="2" borderId="21" xfId="0" applyFont="1" applyFill="1" applyBorder="1" applyAlignment="1" applyProtection="1">
      <alignment horizontal="center" vertical="center" shrinkToFit="1"/>
      <protection locked="0"/>
    </xf>
    <xf numFmtId="0" fontId="6" fillId="0" borderId="0" xfId="0" applyFont="1" applyAlignment="1">
      <alignment horizontal="center" vertical="center" shrinkToFit="1"/>
    </xf>
    <xf numFmtId="0" fontId="41" fillId="0" borderId="22" xfId="0" applyFont="1" applyBorder="1" applyAlignment="1">
      <alignment horizontal="left" vertical="center" shrinkToFit="1"/>
    </xf>
    <xf numFmtId="0" fontId="2" fillId="0" borderId="15" xfId="0" applyFont="1" applyBorder="1" applyAlignment="1">
      <alignment horizontal="center" vertical="center" shrinkToFit="1"/>
    </xf>
    <xf numFmtId="0" fontId="50" fillId="0" borderId="0" xfId="1" applyNumberFormat="1" applyFont="1" applyBorder="1" applyAlignment="1">
      <alignment horizontal="center" wrapText="1"/>
    </xf>
    <xf numFmtId="195" fontId="2" fillId="0" borderId="15" xfId="0" applyNumberFormat="1" applyFont="1" applyBorder="1" applyAlignment="1">
      <alignment horizontal="center" vertical="center" shrinkToFit="1"/>
    </xf>
    <xf numFmtId="0" fontId="57" fillId="0" borderId="15" xfId="0" applyFont="1" applyBorder="1" applyAlignment="1">
      <alignment horizontal="center" vertical="center" shrinkToFit="1"/>
    </xf>
    <xf numFmtId="0" fontId="55" fillId="2" borderId="19" xfId="3" applyFill="1" applyBorder="1" applyAlignment="1" applyProtection="1">
      <alignment horizontal="center" shrinkToFit="1"/>
      <protection locked="0"/>
    </xf>
    <xf numFmtId="0" fontId="55" fillId="2" borderId="20" xfId="3" applyFill="1" applyBorder="1" applyAlignment="1" applyProtection="1">
      <alignment horizontal="center" shrinkToFit="1"/>
      <protection locked="0"/>
    </xf>
    <xf numFmtId="0" fontId="55" fillId="2" borderId="21" xfId="3" applyFill="1" applyBorder="1" applyAlignment="1" applyProtection="1">
      <alignment horizontal="center" shrinkToFit="1"/>
      <protection locked="0"/>
    </xf>
    <xf numFmtId="0" fontId="41" fillId="0" borderId="31" xfId="0" applyFont="1" applyBorder="1" applyAlignment="1">
      <alignment horizontal="right" vertical="top" indent="1" shrinkToFit="1"/>
    </xf>
    <xf numFmtId="0" fontId="41" fillId="0" borderId="25" xfId="0" applyFont="1" applyBorder="1" applyAlignment="1">
      <alignment horizontal="left" vertical="center" shrinkToFit="1"/>
    </xf>
    <xf numFmtId="0" fontId="6" fillId="0" borderId="0" xfId="2" applyNumberFormat="1" applyFont="1" applyBorder="1" applyAlignment="1">
      <alignment horizontal="center" vertical="center" shrinkToFit="1"/>
    </xf>
    <xf numFmtId="0" fontId="6" fillId="0" borderId="0" xfId="2" applyNumberFormat="1" applyFont="1" applyAlignment="1">
      <alignment horizontal="center" vertical="center" shrinkToFit="1"/>
    </xf>
    <xf numFmtId="0" fontId="39" fillId="0" borderId="24" xfId="0" applyFont="1" applyBorder="1" applyAlignment="1">
      <alignment horizontal="center" vertical="center" shrinkToFit="1"/>
    </xf>
    <xf numFmtId="193" fontId="44" fillId="0" borderId="0" xfId="0" applyNumberFormat="1" applyFont="1" applyAlignment="1">
      <alignment horizontal="center" vertical="center" shrinkToFit="1"/>
    </xf>
    <xf numFmtId="0" fontId="37" fillId="5" borderId="26" xfId="0" applyFont="1" applyFill="1" applyBorder="1" applyAlignment="1">
      <alignment horizontal="center" vertical="center" shrinkToFit="1"/>
    </xf>
    <xf numFmtId="0" fontId="37" fillId="5" borderId="23" xfId="0" applyFont="1" applyFill="1" applyBorder="1" applyAlignment="1">
      <alignment horizontal="center" vertical="center" shrinkToFit="1"/>
    </xf>
    <xf numFmtId="0" fontId="37" fillId="5" borderId="27" xfId="0" applyFont="1" applyFill="1" applyBorder="1" applyAlignment="1">
      <alignment horizontal="center" vertical="center" shrinkToFit="1"/>
    </xf>
    <xf numFmtId="0" fontId="37" fillId="5" borderId="28" xfId="0" applyFont="1" applyFill="1" applyBorder="1" applyAlignment="1">
      <alignment horizontal="center" vertical="center" shrinkToFit="1"/>
    </xf>
    <xf numFmtId="0" fontId="37" fillId="5" borderId="22" xfId="0" applyFont="1" applyFill="1" applyBorder="1" applyAlignment="1">
      <alignment horizontal="center" vertical="center" shrinkToFit="1"/>
    </xf>
    <xf numFmtId="0" fontId="37" fillId="5" borderId="29" xfId="0" applyFont="1" applyFill="1" applyBorder="1" applyAlignment="1">
      <alignment horizontal="center" vertical="center" shrinkToFit="1"/>
    </xf>
    <xf numFmtId="0" fontId="44" fillId="0" borderId="23" xfId="0" applyFont="1" applyBorder="1" applyAlignment="1">
      <alignment horizontal="right" wrapText="1" indent="1"/>
    </xf>
    <xf numFmtId="0" fontId="44" fillId="0" borderId="0" xfId="0" applyFont="1" applyAlignment="1">
      <alignment horizontal="right" wrapText="1" indent="1"/>
    </xf>
    <xf numFmtId="0" fontId="23" fillId="0" borderId="14" xfId="0" applyFont="1" applyBorder="1" applyAlignment="1">
      <alignment horizontal="right" vertical="center" wrapText="1"/>
    </xf>
    <xf numFmtId="0" fontId="23" fillId="0" borderId="14" xfId="0" applyFont="1" applyBorder="1" applyAlignment="1">
      <alignment horizontal="right" vertical="center"/>
    </xf>
  </cellXfs>
  <cellStyles count="4">
    <cellStyle name="Comma" xfId="1" builtinId="3"/>
    <cellStyle name="Hyperlink" xfId="3" builtinId="8"/>
    <cellStyle name="Normal" xfId="0" builtinId="0"/>
    <cellStyle name="Percent" xfId="2" builtinId="5"/>
  </cellStyles>
  <dxfs count="32">
    <dxf>
      <font>
        <color theme="0" tint="-0.24994659260841701"/>
      </font>
    </dxf>
    <dxf>
      <font>
        <color theme="0"/>
      </font>
    </dxf>
    <dxf>
      <font>
        <color theme="9" tint="0.79998168889431442"/>
      </font>
    </dxf>
    <dxf>
      <font>
        <color theme="0"/>
      </font>
    </dxf>
    <dxf>
      <font>
        <color theme="3" tint="0.89996032593768116"/>
      </font>
    </dxf>
    <dxf>
      <numFmt numFmtId="202" formatCode="0&quot; Month&quot;"/>
    </dxf>
    <dxf>
      <font>
        <color theme="0" tint="-0.34998626667073579"/>
      </font>
    </dxf>
    <dxf>
      <font>
        <color theme="1" tint="0.14996795556505021"/>
      </font>
    </dxf>
    <dxf>
      <font>
        <color theme="0" tint="-0.34998626667073579"/>
      </font>
    </dxf>
    <dxf>
      <font>
        <color rgb="FFFF0000"/>
      </font>
      <fill>
        <patternFill>
          <bgColor rgb="FFFFFF00"/>
        </patternFill>
      </fill>
    </dxf>
    <dxf>
      <font>
        <color theme="5"/>
      </font>
    </dxf>
    <dxf>
      <numFmt numFmtId="13" formatCode="0%"/>
    </dxf>
    <dxf>
      <font>
        <color theme="5" tint="-0.24994659260841701"/>
      </font>
    </dxf>
    <dxf>
      <font>
        <color theme="5" tint="-0.24994659260841701"/>
      </font>
    </dxf>
    <dxf>
      <font>
        <color theme="0"/>
      </font>
      <fill>
        <patternFill patternType="none">
          <bgColor auto="1"/>
        </patternFill>
      </fill>
      <border>
        <left/>
        <right/>
        <top/>
        <bottom/>
      </border>
    </dxf>
    <dxf>
      <font>
        <color theme="0"/>
      </font>
      <fill>
        <patternFill patternType="none">
          <bgColor auto="1"/>
        </patternFill>
      </fill>
      <border>
        <left/>
        <right/>
        <top/>
        <bottom/>
      </border>
    </dxf>
    <dxf>
      <fill>
        <patternFill>
          <bgColor rgb="FFFFFF00"/>
        </patternFill>
      </fill>
    </dxf>
    <dxf>
      <font>
        <color theme="5"/>
      </font>
    </dxf>
    <dxf>
      <font>
        <color theme="5"/>
      </font>
    </dxf>
    <dxf>
      <font>
        <color theme="1" tint="0.499984740745262"/>
      </font>
    </dxf>
    <dxf>
      <font>
        <color theme="9" tint="-0.24994659260841701"/>
      </font>
    </dxf>
    <dxf>
      <numFmt numFmtId="208" formatCode="0&quot;-Month&quot;"/>
    </dxf>
    <dxf>
      <font>
        <color theme="0"/>
      </font>
    </dxf>
    <dxf>
      <font>
        <color theme="1" tint="0.499984740745262"/>
      </font>
    </dxf>
    <dxf>
      <font>
        <color theme="1" tint="0.499984740745262"/>
      </font>
    </dxf>
    <dxf>
      <font>
        <color theme="1" tint="0.499984740745262"/>
      </font>
    </dxf>
    <dxf>
      <font>
        <color theme="1" tint="0.499984740745262"/>
      </font>
    </dxf>
    <dxf>
      <font>
        <color rgb="FFFF0000"/>
      </font>
      <fill>
        <patternFill>
          <bgColor rgb="FFFFFF00"/>
        </patternFill>
      </fill>
    </dxf>
    <dxf>
      <font>
        <color theme="0"/>
      </font>
    </dxf>
    <dxf>
      <font>
        <color theme="1" tint="0.499984740745262"/>
      </font>
    </dxf>
    <dxf>
      <numFmt numFmtId="209" formatCode="0&quot; meter&quot;"/>
    </dxf>
    <dxf>
      <font>
        <color theme="0"/>
      </font>
      <fill>
        <patternFill patternType="none">
          <bgColor auto="1"/>
        </patternFill>
      </fill>
      <border>
        <left/>
        <right/>
        <top/>
        <bottom/>
        <vertical/>
        <horizontal/>
      </border>
    </dxf>
  </dxfs>
  <tableStyles count="0" defaultTableStyle="TableStyleMedium2" defaultPivotStyle="PivotStyleLight16"/>
  <colors>
    <mruColors>
      <color rgb="FFFFCC00"/>
      <color rgb="FFFFFF66"/>
      <color rgb="FF016AC6"/>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CALCULATOR!$P$25</c:f>
          <c:strCache>
            <c:ptCount val="1"/>
            <c:pt idx="0">
              <c:v>Est. Monthly Consumption</c:v>
            </c:pt>
          </c:strCache>
        </c:strRef>
      </c:tx>
      <c:layout>
        <c:manualLayout>
          <c:xMode val="edge"/>
          <c:yMode val="edge"/>
          <c:x val="0.37617702154347338"/>
          <c:y val="2.4370352602542576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manualLayout>
          <c:layoutTarget val="inner"/>
          <c:xMode val="edge"/>
          <c:yMode val="edge"/>
          <c:x val="2.8324688355640212E-2"/>
          <c:y val="0.12229184893554973"/>
          <c:w val="0.53732170087810283"/>
          <c:h val="0.86381926217556126"/>
        </c:manualLayout>
      </c:layout>
      <c:pieChart>
        <c:varyColors val="1"/>
        <c:ser>
          <c:idx val="0"/>
          <c:order val="0"/>
          <c:dPt>
            <c:idx val="0"/>
            <c:bubble3D val="0"/>
            <c:spPr>
              <a:solidFill>
                <a:srgbClr val="FFC000"/>
              </a:solidFill>
              <a:ln w="19050">
                <a:solidFill>
                  <a:schemeClr val="lt1"/>
                </a:solidFill>
              </a:ln>
              <a:effectLst/>
            </c:spPr>
            <c:extLst>
              <c:ext xmlns:c16="http://schemas.microsoft.com/office/drawing/2014/chart" uri="{C3380CC4-5D6E-409C-BE32-E72D297353CC}">
                <c16:uniqueId val="{00000001-2197-4C03-9AB3-1790C6C38F97}"/>
              </c:ext>
            </c:extLst>
          </c:dPt>
          <c:dPt>
            <c:idx val="1"/>
            <c:bubble3D val="0"/>
            <c:spPr>
              <a:solidFill>
                <a:srgbClr val="016AC6"/>
              </a:solidFill>
              <a:ln w="19050">
                <a:solidFill>
                  <a:schemeClr val="lt1"/>
                </a:solidFill>
              </a:ln>
              <a:effectLst/>
            </c:spPr>
            <c:extLst>
              <c:ext xmlns:c16="http://schemas.microsoft.com/office/drawing/2014/chart" uri="{C3380CC4-5D6E-409C-BE32-E72D297353CC}">
                <c16:uniqueId val="{00000002-2197-4C03-9AB3-1790C6C38F97}"/>
              </c:ext>
            </c:extLst>
          </c:dPt>
          <c:dLbls>
            <c:dLbl>
              <c:idx val="1"/>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Tahoma" panose="020B0604030504040204" pitchFamily="34" charset="0"/>
                      <a:ea typeface="Tahoma" panose="020B0604030504040204" pitchFamily="34" charset="0"/>
                      <a:cs typeface="Tahoma" panose="020B0604030504040204" pitchFamily="34" charset="0"/>
                    </a:defRPr>
                  </a:pPr>
                  <a:endParaRPr lang="en-US"/>
                </a:p>
              </c:txPr>
              <c:dLblPos val="ctr"/>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197-4C03-9AB3-1790C6C38F9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n-US"/>
              </a:p>
            </c:txPr>
            <c:dLblPos val="ct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CALCULATOR!$P$28:$P$29</c:f>
              <c:strCache>
                <c:ptCount val="2"/>
                <c:pt idx="0">
                  <c:v>Day Time</c:v>
                </c:pt>
                <c:pt idx="1">
                  <c:v>Night Time</c:v>
                </c:pt>
              </c:strCache>
            </c:strRef>
          </c:cat>
          <c:val>
            <c:numRef>
              <c:f>CALCULATOR!$Q$28:$Q$29</c:f>
              <c:numCache>
                <c:formatCode>#,##0" kWh"</c:formatCode>
                <c:ptCount val="2"/>
                <c:pt idx="0">
                  <c:v>517.24137931034488</c:v>
                </c:pt>
                <c:pt idx="1">
                  <c:v>517.24137931034488</c:v>
                </c:pt>
              </c:numCache>
            </c:numRef>
          </c:val>
          <c:extLst>
            <c:ext xmlns:c16="http://schemas.microsoft.com/office/drawing/2014/chart" uri="{C3380CC4-5D6E-409C-BE32-E72D297353CC}">
              <c16:uniqueId val="{00000000-2197-4C03-9AB3-1790C6C38F97}"/>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222159570766066"/>
          <c:y val="0.32349154272382613"/>
          <c:w val="0.25683391115591436"/>
          <c:h val="0.63584062408865571"/>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836452757324689E-2"/>
          <c:y val="0.10360115095174856"/>
          <c:w val="0.75792991177604707"/>
          <c:h val="0.67022807108919713"/>
        </c:manualLayout>
      </c:layout>
      <c:areaChart>
        <c:grouping val="stacked"/>
        <c:varyColors val="0"/>
        <c:ser>
          <c:idx val="0"/>
          <c:order val="0"/>
          <c:tx>
            <c:strRef>
              <c:f>SCHEDULE!$B$12</c:f>
              <c:strCache>
                <c:ptCount val="1"/>
                <c:pt idx="0">
                  <c:v>Daily Avg. Base Energy Load</c:v>
                </c:pt>
              </c:strCache>
            </c:strRef>
          </c:tx>
          <c:spPr>
            <a:solidFill>
              <a:srgbClr val="95C1E7"/>
            </a:solidFill>
            <a:ln>
              <a:noFill/>
            </a:ln>
            <a:effectLst/>
          </c:spPr>
          <c:cat>
            <c:numRef>
              <c:f>SCHEDULE!$A$13:$A$36</c:f>
              <c:numCache>
                <c:formatCode>h\ AM/PM</c:formatCode>
                <c:ptCount val="24"/>
                <c:pt idx="0">
                  <c:v>0</c:v>
                </c:pt>
                <c:pt idx="1">
                  <c:v>4.1666666666666699E-2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SCHEDULE!$B$13:$B$36</c:f>
              <c:numCache>
                <c:formatCode>#,##0.0" kW"</c:formatCode>
                <c:ptCount val="24"/>
                <c:pt idx="0">
                  <c:v>1.4170996693434106</c:v>
                </c:pt>
                <c:pt idx="1">
                  <c:v>1.4170996693434106</c:v>
                </c:pt>
                <c:pt idx="2">
                  <c:v>1.4170996693434106</c:v>
                </c:pt>
                <c:pt idx="3">
                  <c:v>1.4170996693434106</c:v>
                </c:pt>
                <c:pt idx="4">
                  <c:v>1.4170996693434106</c:v>
                </c:pt>
                <c:pt idx="5">
                  <c:v>1.4170996693434106</c:v>
                </c:pt>
                <c:pt idx="6">
                  <c:v>1.4170996693434106</c:v>
                </c:pt>
                <c:pt idx="7">
                  <c:v>1.4170996693434106</c:v>
                </c:pt>
                <c:pt idx="8">
                  <c:v>1.4170996693434106</c:v>
                </c:pt>
                <c:pt idx="9">
                  <c:v>1.4170996693434106</c:v>
                </c:pt>
                <c:pt idx="10">
                  <c:v>1.4170996693434106</c:v>
                </c:pt>
                <c:pt idx="11">
                  <c:v>1.4170996693434106</c:v>
                </c:pt>
                <c:pt idx="12">
                  <c:v>1.4170996693434106</c:v>
                </c:pt>
                <c:pt idx="13">
                  <c:v>1.4170996693434106</c:v>
                </c:pt>
                <c:pt idx="14">
                  <c:v>1.4170996693434106</c:v>
                </c:pt>
                <c:pt idx="15">
                  <c:v>1.4170996693434106</c:v>
                </c:pt>
                <c:pt idx="16">
                  <c:v>1.4170996693434106</c:v>
                </c:pt>
                <c:pt idx="17">
                  <c:v>1.4170996693434106</c:v>
                </c:pt>
                <c:pt idx="18">
                  <c:v>1.4170996693434106</c:v>
                </c:pt>
                <c:pt idx="19">
                  <c:v>1.4170996693434106</c:v>
                </c:pt>
                <c:pt idx="20">
                  <c:v>1.4170996693434106</c:v>
                </c:pt>
                <c:pt idx="21">
                  <c:v>1.4170996693434106</c:v>
                </c:pt>
                <c:pt idx="22">
                  <c:v>1.4170996693434106</c:v>
                </c:pt>
                <c:pt idx="23">
                  <c:v>1.4170996693434106</c:v>
                </c:pt>
              </c:numCache>
            </c:numRef>
          </c:val>
          <c:extLst>
            <c:ext xmlns:c16="http://schemas.microsoft.com/office/drawing/2014/chart" uri="{C3380CC4-5D6E-409C-BE32-E72D297353CC}">
              <c16:uniqueId val="{00000000-843B-4134-A22D-3DD23C77C42F}"/>
            </c:ext>
          </c:extLst>
        </c:ser>
        <c:ser>
          <c:idx val="1"/>
          <c:order val="1"/>
          <c:tx>
            <c:strRef>
              <c:f>SCHEDULE!$C$12</c:f>
              <c:strCache>
                <c:ptCount val="1"/>
                <c:pt idx="0">
                  <c:v>Daily Avg. Major Devices Load</c:v>
                </c:pt>
              </c:strCache>
            </c:strRef>
          </c:tx>
          <c:spPr>
            <a:solidFill>
              <a:srgbClr val="EB882B"/>
            </a:solidFill>
            <a:ln>
              <a:noFill/>
            </a:ln>
            <a:effectLst/>
          </c:spPr>
          <c:cat>
            <c:numRef>
              <c:f>SCHEDULE!$A$13:$A$36</c:f>
              <c:numCache>
                <c:formatCode>h\ AM/PM</c:formatCode>
                <c:ptCount val="24"/>
                <c:pt idx="0">
                  <c:v>0</c:v>
                </c:pt>
                <c:pt idx="1">
                  <c:v>4.1666666666666699E-2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SCHEDULE!$C$13:$C$36</c:f>
              <c:numCache>
                <c:formatCode>#,##0.0" kW"</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843B-4134-A22D-3DD23C77C42F}"/>
            </c:ext>
          </c:extLst>
        </c:ser>
        <c:ser>
          <c:idx val="4"/>
          <c:order val="4"/>
          <c:tx>
            <c:strRef>
              <c:f>SCHEDULE!$G$12</c:f>
              <c:strCache>
                <c:ptCount val="1"/>
                <c:pt idx="0">
                  <c:v>Daily Avg. Excess Solar: * 4.4kWh</c:v>
                </c:pt>
              </c:strCache>
            </c:strRef>
          </c:tx>
          <c:spPr>
            <a:solidFill>
              <a:srgbClr val="EBF9B2"/>
            </a:solidFill>
            <a:ln>
              <a:noFill/>
            </a:ln>
            <a:effectLst/>
          </c:spPr>
          <c:cat>
            <c:numRef>
              <c:f>SCHEDULE!$A$13:$A$36</c:f>
              <c:numCache>
                <c:formatCode>h\ AM/PM</c:formatCode>
                <c:ptCount val="24"/>
                <c:pt idx="0">
                  <c:v>0</c:v>
                </c:pt>
                <c:pt idx="1">
                  <c:v>4.1666666666666699E-2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SCHEDULE!$G$13:$G$36</c:f>
              <c:numCache>
                <c:formatCode>#,##0.0" kW"</c:formatCode>
                <c:ptCount val="24"/>
                <c:pt idx="0">
                  <c:v>0</c:v>
                </c:pt>
                <c:pt idx="1">
                  <c:v>0</c:v>
                </c:pt>
                <c:pt idx="2">
                  <c:v>0</c:v>
                </c:pt>
                <c:pt idx="3">
                  <c:v>0</c:v>
                </c:pt>
                <c:pt idx="4">
                  <c:v>0</c:v>
                </c:pt>
                <c:pt idx="5">
                  <c:v>0</c:v>
                </c:pt>
                <c:pt idx="6">
                  <c:v>0</c:v>
                </c:pt>
                <c:pt idx="7">
                  <c:v>0</c:v>
                </c:pt>
                <c:pt idx="8">
                  <c:v>0</c:v>
                </c:pt>
                <c:pt idx="9">
                  <c:v>0.45173233065658924</c:v>
                </c:pt>
                <c:pt idx="10">
                  <c:v>0.77832433065658946</c:v>
                </c:pt>
                <c:pt idx="11">
                  <c:v>0.97790833065658966</c:v>
                </c:pt>
                <c:pt idx="12">
                  <c:v>0.97790833065658966</c:v>
                </c:pt>
                <c:pt idx="13">
                  <c:v>0.77832433065658946</c:v>
                </c:pt>
                <c:pt idx="14">
                  <c:v>0.45173233065658924</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843B-4134-A22D-3DD23C77C42F}"/>
            </c:ext>
          </c:extLst>
        </c:ser>
        <c:dLbls>
          <c:showLegendKey val="0"/>
          <c:showVal val="0"/>
          <c:showCatName val="0"/>
          <c:showSerName val="0"/>
          <c:showPercent val="0"/>
          <c:showBubbleSize val="0"/>
        </c:dLbls>
        <c:axId val="140466047"/>
        <c:axId val="140469407"/>
      </c:areaChart>
      <c:lineChart>
        <c:grouping val="standard"/>
        <c:varyColors val="0"/>
        <c:ser>
          <c:idx val="2"/>
          <c:order val="2"/>
          <c:tx>
            <c:strRef>
              <c:f>SCHEDULE!$G$12</c:f>
              <c:strCache>
                <c:ptCount val="1"/>
                <c:pt idx="0">
                  <c:v>Daily Avg. Excess Solar: * 4.4kWh</c:v>
                </c:pt>
              </c:strCache>
            </c:strRef>
          </c:tx>
          <c:spPr>
            <a:ln w="19050" cap="rnd">
              <a:solidFill>
                <a:schemeClr val="accent6">
                  <a:lumMod val="60000"/>
                  <a:lumOff val="40000"/>
                </a:schemeClr>
              </a:solidFill>
              <a:round/>
            </a:ln>
            <a:effectLst/>
          </c:spPr>
          <c:marker>
            <c:symbol val="none"/>
          </c:marker>
          <c:val>
            <c:numRef>
              <c:f>SCHEDULE!$E$13:$E$36</c:f>
              <c:numCache>
                <c:formatCode>#,##0.0" kW"</c:formatCode>
                <c:ptCount val="24"/>
                <c:pt idx="0">
                  <c:v>0</c:v>
                </c:pt>
                <c:pt idx="1">
                  <c:v>0</c:v>
                </c:pt>
                <c:pt idx="2">
                  <c:v>0</c:v>
                </c:pt>
                <c:pt idx="3">
                  <c:v>0</c:v>
                </c:pt>
                <c:pt idx="4">
                  <c:v>0</c:v>
                </c:pt>
                <c:pt idx="5">
                  <c:v>0</c:v>
                </c:pt>
                <c:pt idx="6">
                  <c:v>0.308448</c:v>
                </c:pt>
                <c:pt idx="7">
                  <c:v>0.88905599999999996</c:v>
                </c:pt>
                <c:pt idx="8">
                  <c:v>1.415232</c:v>
                </c:pt>
                <c:pt idx="9">
                  <c:v>1.8688319999999998</c:v>
                </c:pt>
                <c:pt idx="10">
                  <c:v>2.195424</c:v>
                </c:pt>
                <c:pt idx="11">
                  <c:v>2.3950080000000002</c:v>
                </c:pt>
                <c:pt idx="12">
                  <c:v>2.3950080000000002</c:v>
                </c:pt>
                <c:pt idx="13">
                  <c:v>2.195424</c:v>
                </c:pt>
                <c:pt idx="14">
                  <c:v>1.8688319999999998</c:v>
                </c:pt>
                <c:pt idx="15">
                  <c:v>1.415232</c:v>
                </c:pt>
                <c:pt idx="16">
                  <c:v>0.88905599999999996</c:v>
                </c:pt>
                <c:pt idx="17">
                  <c:v>0.308448</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3-843B-4134-A22D-3DD23C77C42F}"/>
            </c:ext>
          </c:extLst>
        </c:ser>
        <c:ser>
          <c:idx val="3"/>
          <c:order val="3"/>
          <c:tx>
            <c:strRef>
              <c:f>SCHEDULE!$F$12</c:f>
              <c:strCache>
                <c:ptCount val="1"/>
                <c:pt idx="0">
                  <c:v>Solar Coverage of Energy Use *</c:v>
                </c:pt>
              </c:strCache>
            </c:strRef>
          </c:tx>
          <c:spPr>
            <a:ln w="28575" cap="rnd">
              <a:solidFill>
                <a:srgbClr val="508908"/>
              </a:solidFill>
              <a:round/>
            </a:ln>
            <a:effectLst/>
          </c:spPr>
          <c:marker>
            <c:symbol val="none"/>
          </c:marker>
          <c:val>
            <c:numRef>
              <c:f>SCHEDULE!$F$13:$F$36</c:f>
              <c:numCache>
                <c:formatCode>#,##0.0" kW"</c:formatCode>
                <c:ptCount val="24"/>
                <c:pt idx="0">
                  <c:v>0</c:v>
                </c:pt>
                <c:pt idx="1">
                  <c:v>0</c:v>
                </c:pt>
                <c:pt idx="2">
                  <c:v>0</c:v>
                </c:pt>
                <c:pt idx="3">
                  <c:v>0</c:v>
                </c:pt>
                <c:pt idx="4">
                  <c:v>0</c:v>
                </c:pt>
                <c:pt idx="5">
                  <c:v>0</c:v>
                </c:pt>
                <c:pt idx="6">
                  <c:v>0.308448</c:v>
                </c:pt>
                <c:pt idx="7">
                  <c:v>0.88905599999999996</c:v>
                </c:pt>
                <c:pt idx="8">
                  <c:v>1.415232</c:v>
                </c:pt>
                <c:pt idx="9">
                  <c:v>1.4170996693434106</c:v>
                </c:pt>
                <c:pt idx="10">
                  <c:v>1.4170996693434106</c:v>
                </c:pt>
                <c:pt idx="11">
                  <c:v>1.4170996693434106</c:v>
                </c:pt>
                <c:pt idx="12">
                  <c:v>1.4170996693434106</c:v>
                </c:pt>
                <c:pt idx="13">
                  <c:v>1.4170996693434106</c:v>
                </c:pt>
                <c:pt idx="14">
                  <c:v>1.4170996693434106</c:v>
                </c:pt>
                <c:pt idx="15">
                  <c:v>1.415232</c:v>
                </c:pt>
                <c:pt idx="16">
                  <c:v>0.88905599999999996</c:v>
                </c:pt>
                <c:pt idx="17">
                  <c:v>0.308448</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4-843B-4134-A22D-3DD23C77C42F}"/>
            </c:ext>
          </c:extLst>
        </c:ser>
        <c:dLbls>
          <c:showLegendKey val="0"/>
          <c:showVal val="0"/>
          <c:showCatName val="0"/>
          <c:showSerName val="0"/>
          <c:showPercent val="0"/>
          <c:showBubbleSize val="0"/>
        </c:dLbls>
        <c:marker val="1"/>
        <c:smooth val="0"/>
        <c:axId val="140466047"/>
        <c:axId val="140469407"/>
      </c:lineChart>
      <c:catAx>
        <c:axId val="140466047"/>
        <c:scaling>
          <c:orientation val="minMax"/>
        </c:scaling>
        <c:delete val="0"/>
        <c:axPos val="b"/>
        <c:numFmt formatCode="h\ AM/PM"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40469407"/>
        <c:crosses val="autoZero"/>
        <c:auto val="1"/>
        <c:lblAlgn val="ctr"/>
        <c:lblOffset val="100"/>
        <c:noMultiLvlLbl val="0"/>
      </c:catAx>
      <c:valAx>
        <c:axId val="140469407"/>
        <c:scaling>
          <c:orientation val="minMax"/>
        </c:scaling>
        <c:delete val="0"/>
        <c:axPos val="l"/>
        <c:majorGridlines>
          <c:spPr>
            <a:ln w="9525" cap="flat" cmpd="sng" algn="ctr">
              <a:solidFill>
                <a:schemeClr val="tx1">
                  <a:lumMod val="15000"/>
                  <a:lumOff val="85000"/>
                </a:schemeClr>
              </a:solidFill>
              <a:round/>
            </a:ln>
            <a:effectLst/>
          </c:spPr>
        </c:majorGridlines>
        <c:numFmt formatCode="#,##0.0&quot; kW&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40466047"/>
        <c:crosses val="autoZero"/>
        <c:crossBetween val="between"/>
      </c:valAx>
      <c:spPr>
        <a:noFill/>
        <a:ln>
          <a:noFill/>
        </a:ln>
        <a:effectLst/>
      </c:spPr>
    </c:plotArea>
    <c:legend>
      <c:legendPos val="r"/>
      <c:legendEntry>
        <c:idx val="3"/>
        <c:delete val="1"/>
      </c:legendEntry>
      <c:layout>
        <c:manualLayout>
          <c:xMode val="edge"/>
          <c:yMode val="edge"/>
          <c:x val="0.86884200867260108"/>
          <c:y val="0.22338831521922067"/>
          <c:w val="0.11885873835481128"/>
          <c:h val="0.7190992568741783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1"/>
    <c:dispBlanksAs val="zero"/>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Energy Use Coverage</a:t>
            </a:r>
          </a:p>
        </c:rich>
      </c:tx>
      <c:layout>
        <c:manualLayout>
          <c:xMode val="edge"/>
          <c:yMode val="edge"/>
          <c:x val="0.32998588147300151"/>
          <c:y val="1.7670629228262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526582764456324"/>
          <c:y val="0.16138721241250295"/>
          <c:w val="0.71305349574032251"/>
          <c:h val="0.59225222419135881"/>
        </c:manualLayout>
      </c:layout>
      <c:barChart>
        <c:barDir val="col"/>
        <c:grouping val="percentStacked"/>
        <c:varyColors val="0"/>
        <c:ser>
          <c:idx val="0"/>
          <c:order val="0"/>
          <c:tx>
            <c:v>Dist. Utility</c:v>
          </c:tx>
          <c:spPr>
            <a:solidFill>
              <a:schemeClr val="accent2"/>
            </a:solidFill>
            <a:ln>
              <a:noFill/>
            </a:ln>
            <a:effectLst/>
          </c:spPr>
          <c:invertIfNegative val="0"/>
          <c:cat>
            <c:strRef>
              <c:f>SCHEDULE!$G$57:$J$57</c:f>
              <c:strCache>
                <c:ptCount val="4"/>
                <c:pt idx="0">
                  <c:v>No Solar</c:v>
                </c:pt>
                <c:pt idx="1">
                  <c:v>Solar Only</c:v>
                </c:pt>
                <c:pt idx="2">
                  <c:v>Solar w/ Batteries</c:v>
                </c:pt>
                <c:pt idx="3">
                  <c:v>Solar w/ Batteries &amp; Net-Metering</c:v>
                </c:pt>
              </c:strCache>
            </c:strRef>
          </c:cat>
          <c:val>
            <c:numRef>
              <c:f>SCHEDULE!$G$58:$J$58</c:f>
              <c:numCache>
                <c:formatCode>0%</c:formatCode>
                <c:ptCount val="4"/>
                <c:pt idx="0">
                  <c:v>1</c:v>
                </c:pt>
                <c:pt idx="1">
                  <c:v>0.59635660800000012</c:v>
                </c:pt>
                <c:pt idx="2">
                  <c:v>0.59635660800000012</c:v>
                </c:pt>
                <c:pt idx="3">
                  <c:v>0.59635660800000012</c:v>
                </c:pt>
              </c:numCache>
            </c:numRef>
          </c:val>
          <c:extLst>
            <c:ext xmlns:c16="http://schemas.microsoft.com/office/drawing/2014/chart" uri="{C3380CC4-5D6E-409C-BE32-E72D297353CC}">
              <c16:uniqueId val="{00000000-309E-4598-94E9-3D9D0B36A02E}"/>
            </c:ext>
          </c:extLst>
        </c:ser>
        <c:ser>
          <c:idx val="1"/>
          <c:order val="1"/>
          <c:tx>
            <c:v>Direct Solar</c:v>
          </c:tx>
          <c:spPr>
            <a:solidFill>
              <a:srgbClr val="FFCC00"/>
            </a:solidFill>
            <a:ln>
              <a:noFill/>
            </a:ln>
            <a:effectLst/>
          </c:spPr>
          <c:invertIfNegative val="0"/>
          <c:cat>
            <c:strRef>
              <c:f>SCHEDULE!$G$57:$J$57</c:f>
              <c:strCache>
                <c:ptCount val="4"/>
                <c:pt idx="0">
                  <c:v>No Solar</c:v>
                </c:pt>
                <c:pt idx="1">
                  <c:v>Solar Only</c:v>
                </c:pt>
                <c:pt idx="2">
                  <c:v>Solar w/ Batteries</c:v>
                </c:pt>
                <c:pt idx="3">
                  <c:v>Solar w/ Batteries &amp; Net-Metering</c:v>
                </c:pt>
              </c:strCache>
            </c:strRef>
          </c:cat>
          <c:val>
            <c:numRef>
              <c:f>SCHEDULE!$G$59:$J$59</c:f>
              <c:numCache>
                <c:formatCode>0%</c:formatCode>
                <c:ptCount val="4"/>
                <c:pt idx="0">
                  <c:v>0</c:v>
                </c:pt>
                <c:pt idx="1">
                  <c:v>0.40364339199999988</c:v>
                </c:pt>
                <c:pt idx="2">
                  <c:v>0.40364339199999988</c:v>
                </c:pt>
                <c:pt idx="3">
                  <c:v>0.40364339199999988</c:v>
                </c:pt>
              </c:numCache>
            </c:numRef>
          </c:val>
          <c:extLst>
            <c:ext xmlns:c16="http://schemas.microsoft.com/office/drawing/2014/chart" uri="{C3380CC4-5D6E-409C-BE32-E72D297353CC}">
              <c16:uniqueId val="{00000001-309E-4598-94E9-3D9D0B36A02E}"/>
            </c:ext>
          </c:extLst>
        </c:ser>
        <c:ser>
          <c:idx val="2"/>
          <c:order val="2"/>
          <c:tx>
            <c:v>Batteries</c:v>
          </c:tx>
          <c:spPr>
            <a:solidFill>
              <a:schemeClr val="accent6">
                <a:lumMod val="60000"/>
                <a:lumOff val="40000"/>
              </a:schemeClr>
            </a:solidFill>
            <a:ln>
              <a:noFill/>
            </a:ln>
            <a:effectLst/>
          </c:spPr>
          <c:invertIfNegative val="0"/>
          <c:cat>
            <c:strRef>
              <c:f>SCHEDULE!$G$57:$J$57</c:f>
              <c:strCache>
                <c:ptCount val="4"/>
                <c:pt idx="0">
                  <c:v>No Solar</c:v>
                </c:pt>
                <c:pt idx="1">
                  <c:v>Solar Only</c:v>
                </c:pt>
                <c:pt idx="2">
                  <c:v>Solar w/ Batteries</c:v>
                </c:pt>
                <c:pt idx="3">
                  <c:v>Solar w/ Batteries &amp; Net-Metering</c:v>
                </c:pt>
              </c:strCache>
            </c:strRef>
          </c:cat>
          <c:val>
            <c:numRef>
              <c:f>SCHEDULE!$G$60:$J$60</c:f>
              <c:numCache>
                <c:formatCode>0%</c:formatCode>
                <c:ptCount val="4"/>
                <c:pt idx="0">
                  <c:v>0</c:v>
                </c:pt>
                <c:pt idx="1">
                  <c:v>0</c:v>
                </c:pt>
                <c:pt idx="2">
                  <c:v>0</c:v>
                </c:pt>
                <c:pt idx="3">
                  <c:v>0</c:v>
                </c:pt>
              </c:numCache>
            </c:numRef>
          </c:val>
          <c:extLst>
            <c:ext xmlns:c16="http://schemas.microsoft.com/office/drawing/2014/chart" uri="{C3380CC4-5D6E-409C-BE32-E72D297353CC}">
              <c16:uniqueId val="{00000002-309E-4598-94E9-3D9D0B36A02E}"/>
            </c:ext>
          </c:extLst>
        </c:ser>
        <c:ser>
          <c:idx val="3"/>
          <c:order val="3"/>
          <c:tx>
            <c:v>Net-Metering</c:v>
          </c:tx>
          <c:spPr>
            <a:solidFill>
              <a:schemeClr val="accent4">
                <a:lumMod val="60000"/>
                <a:lumOff val="40000"/>
              </a:schemeClr>
            </a:solidFill>
            <a:ln>
              <a:noFill/>
            </a:ln>
            <a:effectLst/>
          </c:spPr>
          <c:invertIfNegative val="0"/>
          <c:cat>
            <c:strRef>
              <c:f>SCHEDULE!$G$57:$J$57</c:f>
              <c:strCache>
                <c:ptCount val="4"/>
                <c:pt idx="0">
                  <c:v>No Solar</c:v>
                </c:pt>
                <c:pt idx="1">
                  <c:v>Solar Only</c:v>
                </c:pt>
                <c:pt idx="2">
                  <c:v>Solar w/ Batteries</c:v>
                </c:pt>
                <c:pt idx="3">
                  <c:v>Solar w/ Batteries &amp; Net-Metering</c:v>
                </c:pt>
              </c:strCache>
            </c:strRef>
          </c:cat>
          <c:val>
            <c:numRef>
              <c:f>SCHEDULE!$G$61:$J$61</c:f>
              <c:numCache>
                <c:formatCode>0%</c:formatCode>
                <c:ptCount val="4"/>
                <c:pt idx="0">
                  <c:v>0</c:v>
                </c:pt>
                <c:pt idx="1">
                  <c:v>0</c:v>
                </c:pt>
                <c:pt idx="2">
                  <c:v>0</c:v>
                </c:pt>
                <c:pt idx="3">
                  <c:v>0</c:v>
                </c:pt>
              </c:numCache>
            </c:numRef>
          </c:val>
          <c:extLst>
            <c:ext xmlns:c16="http://schemas.microsoft.com/office/drawing/2014/chart" uri="{C3380CC4-5D6E-409C-BE32-E72D297353CC}">
              <c16:uniqueId val="{00000003-309E-4598-94E9-3D9D0B36A02E}"/>
            </c:ext>
          </c:extLst>
        </c:ser>
        <c:dLbls>
          <c:showLegendKey val="0"/>
          <c:showVal val="0"/>
          <c:showCatName val="0"/>
          <c:showSerName val="0"/>
          <c:showPercent val="0"/>
          <c:showBubbleSize val="0"/>
        </c:dLbls>
        <c:gapWidth val="150"/>
        <c:overlap val="100"/>
        <c:axId val="1521059199"/>
        <c:axId val="1521062079"/>
      </c:barChart>
      <c:catAx>
        <c:axId val="152105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062079"/>
        <c:crosses val="autoZero"/>
        <c:auto val="1"/>
        <c:lblAlgn val="ctr"/>
        <c:lblOffset val="100"/>
        <c:noMultiLvlLbl val="0"/>
      </c:catAx>
      <c:valAx>
        <c:axId val="15210620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059199"/>
        <c:crosses val="autoZero"/>
        <c:crossBetween val="between"/>
      </c:valAx>
      <c:spPr>
        <a:noFill/>
        <a:ln>
          <a:noFill/>
        </a:ln>
        <a:effectLst/>
      </c:spPr>
    </c:plotArea>
    <c:legend>
      <c:legendPos val="r"/>
      <c:layout>
        <c:manualLayout>
          <c:xMode val="edge"/>
          <c:yMode val="edge"/>
          <c:x val="0.82597336526703113"/>
          <c:y val="0.13872874669408655"/>
          <c:w val="0.15730644961565676"/>
          <c:h val="0.664555447873285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M$19" lockText="1" noThreeD="1"/>
</file>

<file path=xl/ctrlProps/ctrlProp2.xml><?xml version="1.0" encoding="utf-8"?>
<formControlPr xmlns="http://schemas.microsoft.com/office/spreadsheetml/2009/9/main" objectType="CheckBox" fmlaLink="$M$13" lockText="1" noThreeD="1"/>
</file>

<file path=xl/ctrlProps/ctrlProp3.xml><?xml version="1.0" encoding="utf-8"?>
<formControlPr xmlns="http://schemas.microsoft.com/office/spreadsheetml/2009/9/main" objectType="CheckBox" fmlaLink="$H$11" lockText="1" noThreeD="1"/>
</file>

<file path=xl/ctrlProps/ctrlProp4.xml><?xml version="1.0" encoding="utf-8"?>
<formControlPr xmlns="http://schemas.microsoft.com/office/spreadsheetml/2009/9/main" objectType="CheckBox" fmlaLink="$M$18" lockText="1" noThreeD="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4.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47625</xdr:colOff>
          <xdr:row>17</xdr:row>
          <xdr:rowOff>180975</xdr:rowOff>
        </xdr:from>
        <xdr:to>
          <xdr:col>31</xdr:col>
          <xdr:colOff>219075</xdr:colOff>
          <xdr:row>18</xdr:row>
          <xdr:rowOff>180975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Installment via Credit Card?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47625</xdr:colOff>
          <xdr:row>11</xdr:row>
          <xdr:rowOff>190500</xdr:rowOff>
        </xdr:from>
        <xdr:to>
          <xdr:col>30</xdr:col>
          <xdr:colOff>466725</xdr:colOff>
          <xdr:row>12</xdr:row>
          <xdr:rowOff>180975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DP via Credit Card?</a:t>
              </a:r>
            </a:p>
          </xdr:txBody>
        </xdr:sp>
        <xdr:clientData/>
      </xdr:twoCellAnchor>
    </mc:Choice>
    <mc:Fallback/>
  </mc:AlternateContent>
  <xdr:twoCellAnchor>
    <xdr:from>
      <xdr:col>14</xdr:col>
      <xdr:colOff>7583</xdr:colOff>
      <xdr:row>23</xdr:row>
      <xdr:rowOff>39687</xdr:rowOff>
    </xdr:from>
    <xdr:to>
      <xdr:col>20</xdr:col>
      <xdr:colOff>17916</xdr:colOff>
      <xdr:row>35</xdr:row>
      <xdr:rowOff>177269</xdr:rowOff>
    </xdr:to>
    <xdr:graphicFrame macro="">
      <xdr:nvGraphicFramePr>
        <xdr:cNvPr id="2" name="Chart 1">
          <a:extLst>
            <a:ext uri="{FF2B5EF4-FFF2-40B4-BE49-F238E27FC236}">
              <a16:creationId xmlns:a16="http://schemas.microsoft.com/office/drawing/2014/main" id="{E21392AA-6D40-0C00-BE41-BB12D61899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619125</xdr:colOff>
          <xdr:row>13</xdr:row>
          <xdr:rowOff>0</xdr:rowOff>
        </xdr:from>
        <xdr:to>
          <xdr:col>24</xdr:col>
          <xdr:colOff>619125</xdr:colOff>
          <xdr:row>13</xdr:row>
          <xdr:rowOff>180975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RSD for each Solar Panel recommended</a:t>
              </a:r>
            </a:p>
          </xdr:txBody>
        </xdr:sp>
        <xdr:clientData/>
      </xdr:twoCellAnchor>
    </mc:Choice>
    <mc:Fallback/>
  </mc:AlternateContent>
  <xdr:twoCellAnchor>
    <xdr:from>
      <xdr:col>14</xdr:col>
      <xdr:colOff>9875</xdr:colOff>
      <xdr:row>36</xdr:row>
      <xdr:rowOff>63499</xdr:rowOff>
    </xdr:from>
    <xdr:to>
      <xdr:col>27</xdr:col>
      <xdr:colOff>0</xdr:colOff>
      <xdr:row>58</xdr:row>
      <xdr:rowOff>42332</xdr:rowOff>
    </xdr:to>
    <xdr:graphicFrame macro="">
      <xdr:nvGraphicFramePr>
        <xdr:cNvPr id="4" name="Chart 3">
          <a:extLst>
            <a:ext uri="{FF2B5EF4-FFF2-40B4-BE49-F238E27FC236}">
              <a16:creationId xmlns:a16="http://schemas.microsoft.com/office/drawing/2014/main" id="{C14C23C7-AD69-4F48-AA37-145F06C3D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76200</xdr:colOff>
          <xdr:row>57</xdr:row>
          <xdr:rowOff>9525</xdr:rowOff>
        </xdr:from>
        <xdr:to>
          <xdr:col>19</xdr:col>
          <xdr:colOff>533400</xdr:colOff>
          <xdr:row>57</xdr:row>
          <xdr:rowOff>180975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Calculate coverage and savings w/ Net Metering.  Important disclosures below...</a:t>
              </a:r>
            </a:p>
          </xdr:txBody>
        </xdr:sp>
        <xdr:clientData/>
      </xdr:twoCellAnchor>
    </mc:Choice>
    <mc:Fallback/>
  </mc:AlternateContent>
  <xdr:twoCellAnchor>
    <xdr:from>
      <xdr:col>15</xdr:col>
      <xdr:colOff>173038</xdr:colOff>
      <xdr:row>50</xdr:row>
      <xdr:rowOff>188912</xdr:rowOff>
    </xdr:from>
    <xdr:to>
      <xdr:col>17</xdr:col>
      <xdr:colOff>26727</xdr:colOff>
      <xdr:row>52</xdr:row>
      <xdr:rowOff>163620</xdr:rowOff>
    </xdr:to>
    <xdr:pic>
      <xdr:nvPicPr>
        <xdr:cNvPr id="9" name="Picture 8">
          <a:extLst>
            <a:ext uri="{FF2B5EF4-FFF2-40B4-BE49-F238E27FC236}">
              <a16:creationId xmlns:a16="http://schemas.microsoft.com/office/drawing/2014/main" id="{34FCC65F-2647-4C3D-A64D-5E36E394E74C}"/>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7758" t="21846" r="8141" b="21385"/>
        <a:stretch/>
      </xdr:blipFill>
      <xdr:spPr bwMode="auto">
        <a:xfrm>
          <a:off x="9872663" y="9586912"/>
          <a:ext cx="1203064" cy="355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119061</xdr:colOff>
      <xdr:row>3</xdr:row>
      <xdr:rowOff>95132</xdr:rowOff>
    </xdr:from>
    <xdr:to>
      <xdr:col>19</xdr:col>
      <xdr:colOff>579437</xdr:colOff>
      <xdr:row>8</xdr:row>
      <xdr:rowOff>52280</xdr:rowOff>
    </xdr:to>
    <xdr:grpSp>
      <xdr:nvGrpSpPr>
        <xdr:cNvPr id="12" name="Group 11">
          <a:extLst>
            <a:ext uri="{FF2B5EF4-FFF2-40B4-BE49-F238E27FC236}">
              <a16:creationId xmlns:a16="http://schemas.microsoft.com/office/drawing/2014/main" id="{B4326273-0463-D7A4-6D29-88470D421078}"/>
            </a:ext>
          </a:extLst>
        </xdr:cNvPr>
        <xdr:cNvGrpSpPr/>
      </xdr:nvGrpSpPr>
      <xdr:grpSpPr>
        <a:xfrm>
          <a:off x="3000374" y="535663"/>
          <a:ext cx="1103313" cy="909648"/>
          <a:chOff x="11842749" y="539632"/>
          <a:chExt cx="1135063" cy="909648"/>
        </a:xfrm>
      </xdr:grpSpPr>
      <xdr:pic>
        <xdr:nvPicPr>
          <xdr:cNvPr id="7" name="Picture 6">
            <a:extLst>
              <a:ext uri="{FF2B5EF4-FFF2-40B4-BE49-F238E27FC236}">
                <a16:creationId xmlns:a16="http://schemas.microsoft.com/office/drawing/2014/main" id="{A144611B-F320-4DA4-BA83-656C93CEAEEB}"/>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6176" t="30143" r="8141" b="30119"/>
          <a:stretch/>
        </xdr:blipFill>
        <xdr:spPr bwMode="auto">
          <a:xfrm>
            <a:off x="11842749" y="1094469"/>
            <a:ext cx="1135063" cy="35481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1" name="Picture 10">
            <a:extLst>
              <a:ext uri="{FF2B5EF4-FFF2-40B4-BE49-F238E27FC236}">
                <a16:creationId xmlns:a16="http://schemas.microsoft.com/office/drawing/2014/main" id="{A4DF69C3-C780-9B98-B93A-7AB444ED4702}"/>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7758" t="21846" r="66994" b="21385"/>
          <a:stretch/>
        </xdr:blipFill>
        <xdr:spPr bwMode="auto">
          <a:xfrm>
            <a:off x="12152312" y="539632"/>
            <a:ext cx="515937" cy="50812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14</xdr:col>
          <xdr:colOff>19050</xdr:colOff>
          <xdr:row>3</xdr:row>
          <xdr:rowOff>19050</xdr:rowOff>
        </xdr:from>
        <xdr:to>
          <xdr:col>14</xdr:col>
          <xdr:colOff>523875</xdr:colOff>
          <xdr:row>3</xdr:row>
          <xdr:rowOff>180975</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Aptos Narrow"/>
                </a:rPr>
                <a:t>RESET</a:t>
              </a:r>
            </a:p>
          </xdr:txBody>
        </xdr:sp>
        <xdr:clientData fPrintsWithSheet="0"/>
      </xdr:twoCellAnchor>
    </mc:Choice>
    <mc:Fallback/>
  </mc:AlternateContent>
  <xdr:twoCellAnchor>
    <xdr:from>
      <xdr:col>29</xdr:col>
      <xdr:colOff>3</xdr:colOff>
      <xdr:row>36</xdr:row>
      <xdr:rowOff>63500</xdr:rowOff>
    </xdr:from>
    <xdr:to>
      <xdr:col>35</xdr:col>
      <xdr:colOff>10337</xdr:colOff>
      <xdr:row>47</xdr:row>
      <xdr:rowOff>99786</xdr:rowOff>
    </xdr:to>
    <xdr:graphicFrame macro="">
      <xdr:nvGraphicFramePr>
        <xdr:cNvPr id="13" name="Chart 12">
          <a:extLst>
            <a:ext uri="{FF2B5EF4-FFF2-40B4-BE49-F238E27FC236}">
              <a16:creationId xmlns:a16="http://schemas.microsoft.com/office/drawing/2014/main" id="{466685F3-3F5C-46D5-81E5-405D63CCA2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3</xdr:colOff>
      <xdr:row>50</xdr:row>
      <xdr:rowOff>56444</xdr:rowOff>
    </xdr:from>
    <xdr:to>
      <xdr:col>35</xdr:col>
      <xdr:colOff>10337</xdr:colOff>
      <xdr:row>73</xdr:row>
      <xdr:rowOff>166688</xdr:rowOff>
    </xdr:to>
    <xdr:sp macro="" textlink="">
      <xdr:nvSpPr>
        <xdr:cNvPr id="14" name="Rectangle 13">
          <a:extLst>
            <a:ext uri="{FF2B5EF4-FFF2-40B4-BE49-F238E27FC236}">
              <a16:creationId xmlns:a16="http://schemas.microsoft.com/office/drawing/2014/main" id="{3DE68C85-B563-D8A5-22CE-761FED66DE9E}"/>
            </a:ext>
          </a:extLst>
        </xdr:cNvPr>
        <xdr:cNvSpPr/>
      </xdr:nvSpPr>
      <xdr:spPr>
        <a:xfrm>
          <a:off x="8858253" y="9454444"/>
          <a:ext cx="4058459" cy="4491744"/>
        </a:xfrm>
        <a:prstGeom prst="rect">
          <a:avLst/>
        </a:prstGeom>
        <a:no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0.52484</cdr:x>
      <cdr:y>0.11806</cdr:y>
    </cdr:from>
    <cdr:to>
      <cdr:x>0.97408</cdr:x>
      <cdr:y>0.28241</cdr:y>
    </cdr:to>
    <cdr:sp macro="" textlink="CALCULATOR!$Q$25">
      <cdr:nvSpPr>
        <cdr:cNvPr id="3" name="TextBox 2">
          <a:extLst xmlns:a="http://schemas.openxmlformats.org/drawingml/2006/main">
            <a:ext uri="{FF2B5EF4-FFF2-40B4-BE49-F238E27FC236}">
              <a16:creationId xmlns:a16="http://schemas.microsoft.com/office/drawing/2014/main" id="{C07FAC5C-1AD3-82AC-7FDF-C35EFEBD8043}"/>
            </a:ext>
          </a:extLst>
        </cdr:cNvPr>
        <cdr:cNvSpPr txBox="1"/>
      </cdr:nvSpPr>
      <cdr:spPr>
        <a:xfrm xmlns:a="http://schemas.openxmlformats.org/drawingml/2006/main">
          <a:off x="2314575" y="323850"/>
          <a:ext cx="1981200" cy="4508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6AF608F7-373A-4D60-80FA-8FD9789D4EFE}" type="TxLink">
            <a:rPr lang="en-US" sz="1600" b="0" i="0" u="none" strike="noStrike">
              <a:solidFill>
                <a:schemeClr val="tx1">
                  <a:lumMod val="65000"/>
                  <a:lumOff val="35000"/>
                </a:schemeClr>
              </a:solidFill>
              <a:latin typeface="Tahoma"/>
              <a:ea typeface="Tahoma"/>
              <a:cs typeface="Tahoma"/>
            </a:rPr>
            <a:pPr algn="ctr"/>
            <a:t>1,034 kWh</a:t>
          </a:fld>
          <a:endParaRPr lang="en-PH" sz="2800">
            <a:solidFill>
              <a:schemeClr val="tx1">
                <a:lumMod val="65000"/>
                <a:lumOff val="35000"/>
              </a:schemeClr>
            </a:solidFill>
          </a:endParaRPr>
        </a:p>
      </cdr:txBody>
    </cdr:sp>
  </cdr:relSizeAnchor>
  <cdr:relSizeAnchor xmlns:cdr="http://schemas.openxmlformats.org/drawingml/2006/chartDrawing">
    <cdr:from>
      <cdr:x>0.86537</cdr:x>
      <cdr:y>0.36574</cdr:y>
    </cdr:from>
    <cdr:to>
      <cdr:x>0.95067</cdr:x>
      <cdr:y>0.48434</cdr:y>
    </cdr:to>
    <cdr:pic>
      <cdr:nvPicPr>
        <cdr:cNvPr id="4" name="chart">
          <a:extLst xmlns:a="http://schemas.openxmlformats.org/drawingml/2006/main">
            <a:ext uri="{FF2B5EF4-FFF2-40B4-BE49-F238E27FC236}">
              <a16:creationId xmlns:a16="http://schemas.microsoft.com/office/drawing/2014/main" id="{6657CC7C-823F-8C13-18F1-47BC550DF47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816350" y="1003300"/>
          <a:ext cx="376175" cy="325351"/>
        </a:xfrm>
        <a:prstGeom xmlns:a="http://schemas.openxmlformats.org/drawingml/2006/main" prst="rect">
          <a:avLst/>
        </a:prstGeom>
      </cdr:spPr>
    </cdr:pic>
  </cdr:relSizeAnchor>
  <cdr:relSizeAnchor xmlns:cdr="http://schemas.openxmlformats.org/drawingml/2006/chartDrawing">
    <cdr:from>
      <cdr:x>0.87804</cdr:x>
      <cdr:y>0.64088</cdr:y>
    </cdr:from>
    <cdr:to>
      <cdr:x>0.93801</cdr:x>
      <cdr:y>0.7468</cdr:y>
    </cdr:to>
    <cdr:pic>
      <cdr:nvPicPr>
        <cdr:cNvPr id="5" name="chart">
          <a:extLst xmlns:a="http://schemas.openxmlformats.org/drawingml/2006/main">
            <a:ext uri="{FF2B5EF4-FFF2-40B4-BE49-F238E27FC236}">
              <a16:creationId xmlns:a16="http://schemas.microsoft.com/office/drawing/2014/main" id="{57A24C35-3C10-C33B-4BD7-C2A4C619D19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3872201" y="1758074"/>
          <a:ext cx="264473" cy="290546"/>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0.31034</cdr:x>
      <cdr:y>0.54045</cdr:y>
    </cdr:from>
    <cdr:to>
      <cdr:x>0.61207</cdr:x>
      <cdr:y>0.77557</cdr:y>
    </cdr:to>
    <cdr:sp macro="" textlink="SCHEDULE!$F$41">
      <cdr:nvSpPr>
        <cdr:cNvPr id="2" name="TextBox 1">
          <a:extLst xmlns:a="http://schemas.openxmlformats.org/drawingml/2006/main">
            <a:ext uri="{FF2B5EF4-FFF2-40B4-BE49-F238E27FC236}">
              <a16:creationId xmlns:a16="http://schemas.microsoft.com/office/drawing/2014/main" id="{137CBE5B-8EEF-D9BC-0555-634F76F5FF40}"/>
            </a:ext>
          </a:extLst>
        </cdr:cNvPr>
        <cdr:cNvSpPr txBox="1"/>
      </cdr:nvSpPr>
      <cdr:spPr>
        <a:xfrm xmlns:a="http://schemas.openxmlformats.org/drawingml/2006/main">
          <a:off x="2569039" y="2247839"/>
          <a:ext cx="2497680" cy="977900"/>
        </a:xfrm>
        <a:prstGeom xmlns:a="http://schemas.openxmlformats.org/drawingml/2006/main" prst="rect">
          <a:avLst/>
        </a:prstGeom>
      </cdr:spPr>
      <cdr:txBody>
        <a:bodyPr xmlns:a="http://schemas.openxmlformats.org/drawingml/2006/main" vertOverflow="clip" wrap="square" rtlCol="0" anchor="b"/>
        <a:lstStyle xmlns:a="http://schemas.openxmlformats.org/drawingml/2006/main"/>
        <a:p xmlns:a="http://schemas.openxmlformats.org/drawingml/2006/main">
          <a:pPr algn="ctr"/>
          <a:fld id="{899A1FB6-2BA1-4BFB-9384-CFF723C82D20}" type="TxLink">
            <a:rPr lang="en-US" sz="1600" b="0" i="0" u="none" strike="noStrike">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pPr algn="ctr"/>
            <a:t>76% of Solar Energy capture covers 40% of energy consumption *</a:t>
          </a:fld>
          <a:endParaRPr lang="en-PH" sz="320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cdr:txBody>
    </cdr:sp>
  </cdr:relSizeAnchor>
  <cdr:relSizeAnchor xmlns:cdr="http://schemas.openxmlformats.org/drawingml/2006/chartDrawing">
    <cdr:from>
      <cdr:x>0.63883</cdr:x>
      <cdr:y>0.56335</cdr:y>
    </cdr:from>
    <cdr:to>
      <cdr:x>0.81236</cdr:x>
      <cdr:y>0.76035</cdr:y>
    </cdr:to>
    <cdr:sp macro="" textlink="">
      <cdr:nvSpPr>
        <cdr:cNvPr id="3" name="TextBox 2">
          <a:extLst xmlns:a="http://schemas.openxmlformats.org/drawingml/2006/main">
            <a:ext uri="{FF2B5EF4-FFF2-40B4-BE49-F238E27FC236}">
              <a16:creationId xmlns:a16="http://schemas.microsoft.com/office/drawing/2014/main" id="{343444EA-C81B-A55F-0963-B25BA7BE3151}"/>
            </a:ext>
          </a:extLst>
        </cdr:cNvPr>
        <cdr:cNvSpPr txBox="1"/>
      </cdr:nvSpPr>
      <cdr:spPr>
        <a:xfrm xmlns:a="http://schemas.openxmlformats.org/drawingml/2006/main">
          <a:off x="5288237" y="2343088"/>
          <a:ext cx="1436479" cy="819346"/>
        </a:xfrm>
        <a:prstGeom xmlns:a="http://schemas.openxmlformats.org/drawingml/2006/main" prst="rect">
          <a:avLst/>
        </a:prstGeom>
      </cdr:spPr>
      <cdr:txBody>
        <a:bodyPr xmlns:a="http://schemas.openxmlformats.org/drawingml/2006/main" vertOverflow="clip" wrap="square" rtlCol="0" anchor="b"/>
        <a:lstStyle xmlns:a="http://schemas.openxmlformats.org/drawingml/2006/main"/>
        <a:p xmlns:a="http://schemas.openxmlformats.org/drawingml/2006/main">
          <a:pPr algn="r"/>
          <a:r>
            <a:rPr lang="en-PH" sz="1100" i="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Before</a:t>
          </a:r>
          <a:r>
            <a:rPr lang="en-PH" sz="1100" i="0"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Batteries and Net-Metering</a:t>
          </a:r>
          <a:endParaRPr lang="en-PH" sz="1100" i="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cdr:txBody>
    </cdr:sp>
  </cdr:relSizeAnchor>
  <cdr:relSizeAnchor xmlns:cdr="http://schemas.openxmlformats.org/drawingml/2006/chartDrawing">
    <cdr:from>
      <cdr:x>0</cdr:x>
      <cdr:y>0.91686</cdr:y>
    </cdr:from>
    <cdr:to>
      <cdr:x>0.9034</cdr:x>
      <cdr:y>0.99526</cdr:y>
    </cdr:to>
    <cdr:sp macro="" textlink="SCHEDULE!$F$47">
      <cdr:nvSpPr>
        <cdr:cNvPr id="4" name="TextBox 3">
          <a:extLst xmlns:a="http://schemas.openxmlformats.org/drawingml/2006/main">
            <a:ext uri="{FF2B5EF4-FFF2-40B4-BE49-F238E27FC236}">
              <a16:creationId xmlns:a16="http://schemas.microsoft.com/office/drawing/2014/main" id="{1C253E2A-B483-330A-1721-53A425C10DBB}"/>
            </a:ext>
          </a:extLst>
        </cdr:cNvPr>
        <cdr:cNvSpPr txBox="1"/>
      </cdr:nvSpPr>
      <cdr:spPr>
        <a:xfrm xmlns:a="http://schemas.openxmlformats.org/drawingml/2006/main">
          <a:off x="0" y="3316750"/>
          <a:ext cx="6039727" cy="28363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175F9DD2-A020-4F34-B380-4AD64C9FD8E0}" type="TxLink">
            <a:rPr lang="en-US" sz="1100" b="0" i="0" u="none" strike="noStrike" kern="1200">
              <a:solidFill>
                <a:schemeClr val="accent6">
                  <a:lumMod val="50000"/>
                </a:schemeClr>
              </a:solidFill>
              <a:latin typeface="Arial" panose="020B0604020202020204" pitchFamily="34" charset="0"/>
              <a:cs typeface="Arial" panose="020B0604020202020204" pitchFamily="34" charset="0"/>
            </a:rPr>
            <a:pPr algn="ctr"/>
            <a:t> </a:t>
          </a:fld>
          <a:endParaRPr lang="en-US" sz="1600" kern="1200">
            <a:solidFill>
              <a:schemeClr val="accent6">
                <a:lumMod val="50000"/>
              </a:schemeClr>
            </a:solidFill>
            <a:latin typeface="Arial" panose="020B0604020202020204" pitchFamily="34" charset="0"/>
            <a:cs typeface="Arial" panose="020B0604020202020204" pitchFamily="34" charset="0"/>
          </a:endParaRPr>
        </a:p>
      </cdr:txBody>
    </cdr:sp>
  </cdr:relSizeAnchor>
  <cdr:relSizeAnchor xmlns:cdr="http://schemas.openxmlformats.org/drawingml/2006/chartDrawing">
    <cdr:from>
      <cdr:x>1.20547E-7</cdr:x>
      <cdr:y>0.87058</cdr:y>
    </cdr:from>
    <cdr:to>
      <cdr:x>0.90345</cdr:x>
      <cdr:y>0.95521</cdr:y>
    </cdr:to>
    <cdr:sp macro="" textlink="SCHEDULE!$F$54">
      <cdr:nvSpPr>
        <cdr:cNvPr id="5" name="TextBox 1">
          <a:extLst xmlns:a="http://schemas.openxmlformats.org/drawingml/2006/main">
            <a:ext uri="{FF2B5EF4-FFF2-40B4-BE49-F238E27FC236}">
              <a16:creationId xmlns:a16="http://schemas.microsoft.com/office/drawing/2014/main" id="{8BFED4DB-8114-0E49-8EF7-805F42EC8AB9}"/>
            </a:ext>
          </a:extLst>
        </cdr:cNvPr>
        <cdr:cNvSpPr txBox="1"/>
      </cdr:nvSpPr>
      <cdr:spPr>
        <a:xfrm xmlns:a="http://schemas.openxmlformats.org/drawingml/2006/main">
          <a:off x="1" y="3620906"/>
          <a:ext cx="7494588" cy="35199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17DA8D-F91D-429B-861E-9BE6BDEDCA5C}" type="TxLink">
            <a:rPr lang="en-US" sz="1400" b="0" i="0" u="none" strike="noStrike" kern="1200">
              <a:solidFill>
                <a:schemeClr val="accent6">
                  <a:lumMod val="75000"/>
                </a:schemeClr>
              </a:solidFill>
              <a:latin typeface="Tahoma" panose="020B0604030504040204" pitchFamily="34" charset="0"/>
              <a:ea typeface="Tahoma" panose="020B0604030504040204" pitchFamily="34" charset="0"/>
              <a:cs typeface="Tahoma" panose="020B0604030504040204" pitchFamily="34" charset="0"/>
            </a:rPr>
            <a:pPr algn="ctr"/>
            <a:t>5.0-kWp Solar covers 40.4% of energy consumption.</a:t>
          </a:fld>
          <a:endParaRPr lang="en-US" sz="1800" kern="1200">
            <a:solidFill>
              <a:schemeClr val="accent6">
                <a:lumMod val="75000"/>
              </a:schemeClr>
            </a:solidFill>
            <a:latin typeface="Tahoma" panose="020B0604030504040204" pitchFamily="34" charset="0"/>
            <a:ea typeface="Tahoma" panose="020B0604030504040204" pitchFamily="34" charset="0"/>
            <a:cs typeface="Tahoma" panose="020B0604030504040204" pitchFamily="34" charset="0"/>
          </a:endParaRPr>
        </a:p>
      </cdr:txBody>
    </cdr:sp>
  </cdr:relSizeAnchor>
  <cdr:relSizeAnchor xmlns:cdr="http://schemas.openxmlformats.org/drawingml/2006/chartDrawing">
    <cdr:from>
      <cdr:x>0.84965</cdr:x>
      <cdr:y>0.00763</cdr:y>
    </cdr:from>
    <cdr:to>
      <cdr:x>0.99463</cdr:x>
      <cdr:y>0.15267</cdr:y>
    </cdr:to>
    <cdr:sp macro="" textlink="">
      <cdr:nvSpPr>
        <cdr:cNvPr id="6" name="TextBox 5">
          <a:extLst xmlns:a="http://schemas.openxmlformats.org/drawingml/2006/main">
            <a:ext uri="{FF2B5EF4-FFF2-40B4-BE49-F238E27FC236}">
              <a16:creationId xmlns:a16="http://schemas.microsoft.com/office/drawing/2014/main" id="{38DF51BA-60C8-5F93-1B38-5D9018EF964E}"/>
            </a:ext>
          </a:extLst>
        </cdr:cNvPr>
        <cdr:cNvSpPr txBox="1"/>
      </cdr:nvSpPr>
      <cdr:spPr>
        <a:xfrm xmlns:a="http://schemas.openxmlformats.org/drawingml/2006/main">
          <a:off x="7048261" y="31750"/>
          <a:ext cx="1202682" cy="6032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PH" sz="1000">
              <a:latin typeface="Tahoma" panose="020B0604030504040204" pitchFamily="34" charset="0"/>
              <a:ea typeface="Tahoma" panose="020B0604030504040204" pitchFamily="34" charset="0"/>
              <a:cs typeface="Tahoma" panose="020B0604030504040204" pitchFamily="34" charset="0"/>
            </a:rPr>
            <a:t>Expected Monthly </a:t>
          </a:r>
          <a:r>
            <a:rPr lang="en-PH" sz="1000" b="1">
              <a:solidFill>
                <a:schemeClr val="accent2"/>
              </a:solidFill>
              <a:latin typeface="Tahoma" panose="020B0604030504040204" pitchFamily="34" charset="0"/>
              <a:ea typeface="Tahoma" panose="020B0604030504040204" pitchFamily="34" charset="0"/>
              <a:cs typeface="Tahoma" panose="020B0604030504040204" pitchFamily="34" charset="0"/>
            </a:rPr>
            <a:t>ELECTRIC</a:t>
          </a:r>
          <a:r>
            <a:rPr lang="en-PH" sz="1000">
              <a:latin typeface="Tahoma" panose="020B0604030504040204" pitchFamily="34" charset="0"/>
              <a:ea typeface="Tahoma" panose="020B0604030504040204" pitchFamily="34" charset="0"/>
              <a:cs typeface="Tahoma" panose="020B0604030504040204" pitchFamily="34" charset="0"/>
            </a:rPr>
            <a:t> Bill Reduction</a:t>
          </a:r>
        </a:p>
      </cdr:txBody>
    </cdr:sp>
  </cdr:relSizeAnchor>
  <cdr:relSizeAnchor xmlns:cdr="http://schemas.openxmlformats.org/drawingml/2006/chartDrawing">
    <cdr:from>
      <cdr:x>0.84428</cdr:x>
      <cdr:y>0.12477</cdr:y>
    </cdr:from>
    <cdr:to>
      <cdr:x>1</cdr:x>
      <cdr:y>0.20653</cdr:y>
    </cdr:to>
    <cdr:sp macro="" textlink="SCHEDULE!$J$45">
      <cdr:nvSpPr>
        <cdr:cNvPr id="7" name="TextBox 6">
          <a:extLst xmlns:a="http://schemas.openxmlformats.org/drawingml/2006/main">
            <a:ext uri="{FF2B5EF4-FFF2-40B4-BE49-F238E27FC236}">
              <a16:creationId xmlns:a16="http://schemas.microsoft.com/office/drawing/2014/main" id="{1A3DC720-CA30-5F04-B04A-2F05C9ABB5C1}"/>
            </a:ext>
          </a:extLst>
        </cdr:cNvPr>
        <cdr:cNvSpPr txBox="1"/>
      </cdr:nvSpPr>
      <cdr:spPr>
        <a:xfrm xmlns:a="http://schemas.openxmlformats.org/drawingml/2006/main">
          <a:off x="7003718" y="518961"/>
          <a:ext cx="1291769" cy="340029"/>
        </a:xfrm>
        <a:prstGeom xmlns:a="http://schemas.openxmlformats.org/drawingml/2006/main" prst="rect">
          <a:avLst/>
        </a:prstGeom>
      </cdr:spPr>
      <cdr:txBody>
        <a:bodyPr xmlns:a="http://schemas.openxmlformats.org/drawingml/2006/main" vertOverflow="overflow" horzOverflow="overflow" wrap="square" rtlCol="0" anchor="ctr">
          <a:spAutoFit/>
        </a:bodyPr>
        <a:lstStyle xmlns:a="http://schemas.openxmlformats.org/drawingml/2006/main"/>
        <a:p xmlns:a="http://schemas.openxmlformats.org/drawingml/2006/main">
          <a:pPr algn="ctr"/>
          <a:fld id="{8B6828B0-ACCA-4784-9BCC-E2FA165A13A8}" type="TxLink">
            <a:rPr lang="en-US" sz="1600" b="1" i="0" u="none" strike="noStrike">
              <a:solidFill>
                <a:srgbClr val="3C7D22"/>
              </a:solidFill>
              <a:latin typeface="Tahoma" panose="020B0604030504040204" pitchFamily="34" charset="0"/>
              <a:ea typeface="Tahoma" panose="020B0604030504040204" pitchFamily="34" charset="0"/>
              <a:cs typeface="Tahoma" panose="020B0604030504040204" pitchFamily="34" charset="0"/>
            </a:rPr>
            <a:pPr algn="ctr"/>
            <a:t>₱6,100</a:t>
          </a:fld>
          <a:endParaRPr lang="en-PH" sz="4800">
            <a:latin typeface="Tahoma" panose="020B0604030504040204" pitchFamily="34" charset="0"/>
            <a:ea typeface="Tahoma" panose="020B0604030504040204" pitchFamily="34" charset="0"/>
            <a:cs typeface="Tahoma" panose="020B0604030504040204" pitchFamily="34" charset="0"/>
          </a:endParaRPr>
        </a:p>
      </cdr:txBody>
    </cdr:sp>
  </cdr:relSizeAnchor>
  <cdr:relSizeAnchor xmlns:cdr="http://schemas.openxmlformats.org/drawingml/2006/chartDrawing">
    <cdr:from>
      <cdr:x>0.47019</cdr:x>
      <cdr:y>0.94124</cdr:y>
    </cdr:from>
    <cdr:to>
      <cdr:x>0.89867</cdr:x>
      <cdr:y>0.99618</cdr:y>
    </cdr:to>
    <cdr:sp macro="" textlink="">
      <cdr:nvSpPr>
        <cdr:cNvPr id="9" name="TextBox 1">
          <a:extLst xmlns:a="http://schemas.openxmlformats.org/drawingml/2006/main">
            <a:ext uri="{FF2B5EF4-FFF2-40B4-BE49-F238E27FC236}">
              <a16:creationId xmlns:a16="http://schemas.microsoft.com/office/drawing/2014/main" id="{E968BF3A-FE97-BD92-0B5C-A39C7CF5AA18}"/>
            </a:ext>
          </a:extLst>
        </cdr:cNvPr>
        <cdr:cNvSpPr txBox="1"/>
      </cdr:nvSpPr>
      <cdr:spPr>
        <a:xfrm xmlns:a="http://schemas.openxmlformats.org/drawingml/2006/main">
          <a:off x="3900486" y="3914775"/>
          <a:ext cx="3554414" cy="22853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PH" sz="900">
              <a:latin typeface="Tahoma" panose="020B0604030504040204" pitchFamily="34" charset="0"/>
              <a:ea typeface="Tahoma" panose="020B0604030504040204" pitchFamily="34" charset="0"/>
              <a:cs typeface="Tahoma" panose="020B0604030504040204" pitchFamily="34" charset="0"/>
            </a:rPr>
            <a:t>Incremental Monthly </a:t>
          </a:r>
          <a:r>
            <a:rPr lang="en-PH" sz="900" b="1">
              <a:solidFill>
                <a:schemeClr val="accent2"/>
              </a:solidFill>
              <a:latin typeface="Tahoma" panose="020B0604030504040204" pitchFamily="34" charset="0"/>
              <a:ea typeface="Tahoma" panose="020B0604030504040204" pitchFamily="34" charset="0"/>
              <a:cs typeface="Tahoma" panose="020B0604030504040204" pitchFamily="34" charset="0"/>
            </a:rPr>
            <a:t>ELECTRIC</a:t>
          </a:r>
          <a:r>
            <a:rPr lang="en-PH" sz="900">
              <a:latin typeface="Tahoma" panose="020B0604030504040204" pitchFamily="34" charset="0"/>
              <a:ea typeface="Tahoma" panose="020B0604030504040204" pitchFamily="34" charset="0"/>
              <a:cs typeface="Tahoma" panose="020B0604030504040204" pitchFamily="34" charset="0"/>
            </a:rPr>
            <a:t> Bill Reduction w/ Net Metering:</a:t>
          </a:r>
        </a:p>
      </cdr:txBody>
    </cdr:sp>
  </cdr:relSizeAnchor>
  <cdr:relSizeAnchor xmlns:cdr="http://schemas.openxmlformats.org/drawingml/2006/chartDrawing">
    <cdr:from>
      <cdr:x>0.86141</cdr:x>
      <cdr:y>0.94058</cdr:y>
    </cdr:from>
    <cdr:to>
      <cdr:x>0.98287</cdr:x>
      <cdr:y>1</cdr:y>
    </cdr:to>
    <cdr:sp macro="" textlink="SCHEDULE!$M$49">
      <cdr:nvSpPr>
        <cdr:cNvPr id="10" name="TextBox 1">
          <a:extLst xmlns:a="http://schemas.openxmlformats.org/drawingml/2006/main">
            <a:ext uri="{FF2B5EF4-FFF2-40B4-BE49-F238E27FC236}">
              <a16:creationId xmlns:a16="http://schemas.microsoft.com/office/drawing/2014/main" id="{F51458AD-3511-D184-E396-B8BDA8629ED9}"/>
            </a:ext>
          </a:extLst>
        </cdr:cNvPr>
        <cdr:cNvSpPr txBox="1"/>
      </cdr:nvSpPr>
      <cdr:spPr>
        <a:xfrm xmlns:a="http://schemas.openxmlformats.org/drawingml/2006/main">
          <a:off x="7145795" y="3912069"/>
          <a:ext cx="1007614" cy="247119"/>
        </a:xfrm>
        <a:prstGeom xmlns:a="http://schemas.openxmlformats.org/drawingml/2006/main" prst="rect">
          <a:avLst/>
        </a:prstGeom>
      </cdr:spPr>
      <cdr:txBody>
        <a:bodyPr xmlns:a="http://schemas.openxmlformats.org/drawingml/2006/main" wrap="square" rtlCol="0" anchor="ctr">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0052FB4-513E-4311-B7E3-DAF9B3C0267C}" type="TxLink">
            <a:rPr lang="en-US" sz="1000" b="1" i="0" u="none" strike="noStrike">
              <a:solidFill>
                <a:schemeClr val="accent6">
                  <a:lumMod val="75000"/>
                </a:schemeClr>
              </a:solidFill>
              <a:latin typeface="Tahoma" panose="020B0604030504040204" pitchFamily="34" charset="0"/>
              <a:ea typeface="Tahoma" panose="020B0604030504040204" pitchFamily="34" charset="0"/>
              <a:cs typeface="Tahoma" panose="020B0604030504040204" pitchFamily="34" charset="0"/>
            </a:rPr>
            <a:pPr algn="ctr"/>
            <a:t> </a:t>
          </a:fld>
          <a:endParaRPr lang="en-PH" sz="5400" b="1">
            <a:solidFill>
              <a:schemeClr val="accent6">
                <a:lumMod val="75000"/>
              </a:schemeClr>
            </a:solidFill>
            <a:latin typeface="Tahoma" panose="020B0604030504040204" pitchFamily="34" charset="0"/>
            <a:ea typeface="Tahoma" panose="020B0604030504040204" pitchFamily="34" charset="0"/>
            <a:cs typeface="Tahoma" panose="020B0604030504040204" pitchFamily="34" charset="0"/>
          </a:endParaRPr>
        </a:p>
      </cdr:txBody>
    </cdr:sp>
  </cdr:relSizeAnchor>
  <cdr:relSizeAnchor xmlns:cdr="http://schemas.openxmlformats.org/drawingml/2006/chartDrawing">
    <cdr:from>
      <cdr:x>0.18971</cdr:x>
      <cdr:y>0.01031</cdr:y>
    </cdr:from>
    <cdr:to>
      <cdr:x>0.72203</cdr:x>
      <cdr:y>0.16947</cdr:y>
    </cdr:to>
    <cdr:grpSp>
      <cdr:nvGrpSpPr>
        <cdr:cNvPr id="21" name="Group 20">
          <a:extLst xmlns:a="http://schemas.openxmlformats.org/drawingml/2006/main">
            <a:ext uri="{FF2B5EF4-FFF2-40B4-BE49-F238E27FC236}">
              <a16:creationId xmlns:a16="http://schemas.microsoft.com/office/drawing/2014/main" id="{C5149BB2-3348-F6B7-427E-0A4CB46D5E3B}"/>
            </a:ext>
          </a:extLst>
        </cdr:cNvPr>
        <cdr:cNvGrpSpPr/>
      </cdr:nvGrpSpPr>
      <cdr:grpSpPr>
        <a:xfrm xmlns:a="http://schemas.openxmlformats.org/drawingml/2006/main">
          <a:off x="1520514" y="42991"/>
          <a:ext cx="4266512" cy="663671"/>
          <a:chOff x="1573775" y="42863"/>
          <a:chExt cx="4415852" cy="661987"/>
        </a:xfrm>
      </cdr:grpSpPr>
      <cdr:grpSp>
        <cdr:nvGrpSpPr>
          <cdr:cNvPr id="13" name="Group 12">
            <a:extLst xmlns:a="http://schemas.openxmlformats.org/drawingml/2006/main">
              <a:ext uri="{FF2B5EF4-FFF2-40B4-BE49-F238E27FC236}">
                <a16:creationId xmlns:a16="http://schemas.microsoft.com/office/drawing/2014/main" id="{70DE636A-5D1F-9637-E382-6BE6CF311FE5}"/>
              </a:ext>
            </a:extLst>
          </cdr:cNvPr>
          <cdr:cNvGrpSpPr/>
        </cdr:nvGrpSpPr>
        <cdr:grpSpPr>
          <a:xfrm xmlns:a="http://schemas.openxmlformats.org/drawingml/2006/main">
            <a:off x="1573775" y="380109"/>
            <a:ext cx="4415852" cy="324741"/>
            <a:chOff x="0" y="268109"/>
            <a:chExt cx="3604810" cy="289173"/>
          </a:xfrm>
        </cdr:grpSpPr>
        <cdr:pic>
          <cdr:nvPicPr>
            <cdr:cNvPr id="18" name="chart">
              <a:extLst xmlns:a="http://schemas.openxmlformats.org/drawingml/2006/main">
                <a:ext uri="{FF2B5EF4-FFF2-40B4-BE49-F238E27FC236}">
                  <a16:creationId xmlns:a16="http://schemas.microsoft.com/office/drawing/2014/main" id="{F99F5F0C-07EA-7890-D1A8-B090A499951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clrChange>
                <a:clrFrom>
                  <a:srgbClr val="FFFFFF"/>
                </a:clrFrom>
                <a:clrTo>
                  <a:srgbClr val="FFFFFF">
                    <a:alpha val="0"/>
                  </a:srgbClr>
                </a:clrTo>
              </a:clrChange>
            </a:blip>
            <a:stretch xmlns:a="http://schemas.openxmlformats.org/drawingml/2006/main">
              <a:fillRect/>
            </a:stretch>
          </cdr:blipFill>
          <cdr:spPr>
            <a:xfrm xmlns:a="http://schemas.openxmlformats.org/drawingml/2006/main">
              <a:off x="3344305" y="268109"/>
              <a:ext cx="260505" cy="289173"/>
            </a:xfrm>
            <a:prstGeom xmlns:a="http://schemas.openxmlformats.org/drawingml/2006/main" prst="rect">
              <a:avLst/>
            </a:prstGeom>
          </cdr:spPr>
        </cdr:pic>
        <cdr:pic>
          <cdr:nvPicPr>
            <cdr:cNvPr id="19" name="chart">
              <a:extLst xmlns:a="http://schemas.openxmlformats.org/drawingml/2006/main">
                <a:ext uri="{FF2B5EF4-FFF2-40B4-BE49-F238E27FC236}">
                  <a16:creationId xmlns:a16="http://schemas.microsoft.com/office/drawing/2014/main" id="{7250B2C6-9AA3-3800-6791-4D8C0C2DB3B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clrChange>
                <a:clrFrom>
                  <a:srgbClr val="FFFFFF"/>
                </a:clrFrom>
                <a:clrTo>
                  <a:srgbClr val="FFFFFF">
                    <a:alpha val="0"/>
                  </a:srgbClr>
                </a:clrTo>
              </a:clrChange>
            </a:blip>
            <a:stretch xmlns:a="http://schemas.openxmlformats.org/drawingml/2006/main">
              <a:fillRect/>
            </a:stretch>
          </cdr:blipFill>
          <cdr:spPr>
            <a:xfrm xmlns:a="http://schemas.openxmlformats.org/drawingml/2006/main">
              <a:off x="0" y="268109"/>
              <a:ext cx="260505" cy="289173"/>
            </a:xfrm>
            <a:prstGeom xmlns:a="http://schemas.openxmlformats.org/drawingml/2006/main" prst="rect">
              <a:avLst/>
            </a:prstGeom>
          </cdr:spPr>
        </cdr:pic>
      </cdr:grpSp>
      <cdr:grpSp>
        <cdr:nvGrpSpPr>
          <cdr:cNvPr id="11" name="Group 10">
            <a:extLst xmlns:a="http://schemas.openxmlformats.org/drawingml/2006/main">
              <a:ext uri="{FF2B5EF4-FFF2-40B4-BE49-F238E27FC236}">
                <a16:creationId xmlns:a16="http://schemas.microsoft.com/office/drawing/2014/main" id="{DC10ED95-9D39-ED17-E6F6-96287D5FA721}"/>
              </a:ext>
            </a:extLst>
          </cdr:cNvPr>
          <cdr:cNvGrpSpPr/>
        </cdr:nvGrpSpPr>
        <cdr:grpSpPr>
          <a:xfrm xmlns:a="http://schemas.openxmlformats.org/drawingml/2006/main">
            <a:off x="2553945" y="217682"/>
            <a:ext cx="2455517" cy="263116"/>
            <a:chOff x="2553948" y="217681"/>
            <a:chExt cx="2455517" cy="263114"/>
          </a:xfrm>
        </cdr:grpSpPr>
        <cdr:pic>
          <cdr:nvPicPr>
            <cdr:cNvPr id="15" name="Picture 14">
              <a:extLst xmlns:a="http://schemas.openxmlformats.org/drawingml/2006/main">
                <a:ext uri="{FF2B5EF4-FFF2-40B4-BE49-F238E27FC236}">
                  <a16:creationId xmlns:a16="http://schemas.microsoft.com/office/drawing/2014/main" id="{64163B7E-F878-C1E9-00D8-EC1291CB1A7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clrChange>
                <a:clrFrom>
                  <a:srgbClr val="FFFFFF"/>
                </a:clrFrom>
                <a:clrTo>
                  <a:srgbClr val="FFFFFF">
                    <a:alpha val="0"/>
                  </a:srgbClr>
                </a:clrTo>
              </a:clrChange>
            </a:blip>
            <a:stretch xmlns:a="http://schemas.openxmlformats.org/drawingml/2006/main">
              <a:fillRect/>
            </a:stretch>
          </cdr:blipFill>
          <cdr:spPr>
            <a:xfrm xmlns:a="http://schemas.openxmlformats.org/drawingml/2006/main">
              <a:off x="4576388" y="217681"/>
              <a:ext cx="433077" cy="263114"/>
            </a:xfrm>
            <a:prstGeom xmlns:a="http://schemas.openxmlformats.org/drawingml/2006/main" prst="rect">
              <a:avLst/>
            </a:prstGeom>
          </cdr:spPr>
        </cdr:pic>
        <cdr:pic>
          <cdr:nvPicPr>
            <cdr:cNvPr id="16" name="Picture 15">
              <a:extLst xmlns:a="http://schemas.openxmlformats.org/drawingml/2006/main">
                <a:ext uri="{FF2B5EF4-FFF2-40B4-BE49-F238E27FC236}">
                  <a16:creationId xmlns:a16="http://schemas.microsoft.com/office/drawing/2014/main" id="{59B6B071-7291-08D1-14D9-94F5CF6AC27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clrChange>
                <a:clrFrom>
                  <a:srgbClr val="FFFFFF"/>
                </a:clrFrom>
                <a:clrTo>
                  <a:srgbClr val="FFFFFF">
                    <a:alpha val="0"/>
                  </a:srgbClr>
                </a:clrTo>
              </a:clrChange>
            </a:blip>
            <a:stretch xmlns:a="http://schemas.openxmlformats.org/drawingml/2006/main">
              <a:fillRect/>
            </a:stretch>
          </cdr:blipFill>
          <cdr:spPr>
            <a:xfrm xmlns:a="http://schemas.openxmlformats.org/drawingml/2006/main">
              <a:off x="2553948" y="217681"/>
              <a:ext cx="433077" cy="263114"/>
            </a:xfrm>
            <a:prstGeom xmlns:a="http://schemas.openxmlformats.org/drawingml/2006/main" prst="rect">
              <a:avLst/>
            </a:prstGeom>
          </cdr:spPr>
        </cdr:pic>
      </cdr:grpSp>
      <cdr:pic>
        <cdr:nvPicPr>
          <cdr:cNvPr id="20" name="Picture 19">
            <a:extLst xmlns:a="http://schemas.openxmlformats.org/drawingml/2006/main">
              <a:ext uri="{FF2B5EF4-FFF2-40B4-BE49-F238E27FC236}">
                <a16:creationId xmlns:a16="http://schemas.microsoft.com/office/drawing/2014/main" id="{5FA8937F-9FBA-4A48-A0EE-984B890718F8}"/>
              </a:ext>
            </a:extLst>
          </cdr:cNvPr>
          <cdr:cNvPicPr>
            <a:picLocks xmlns:a="http://schemas.openxmlformats.org/drawingml/2006/main" noChangeAspect="1" noChangeArrowheads="1"/>
          </cdr:cNvPicPr>
        </cdr:nvPicPr>
        <cdr:blipFill rotWithShape="1">
          <a:blip xmlns:a="http://schemas.openxmlformats.org/drawingml/2006/main" xmlns:r="http://schemas.openxmlformats.org/officeDocument/2006/relationships" r:embed="rId3" cstate="print">
            <a:extLst>
              <a:ext uri="{28A0092B-C50C-407E-A947-70E740481C1C}">
                <a14:useLocalDpi xmlns:a14="http://schemas.microsoft.com/office/drawing/2010/main" val="0"/>
              </a:ext>
            </a:extLst>
          </a:blip>
          <a:srcRect xmlns:a="http://schemas.openxmlformats.org/drawingml/2006/main" l="7758" t="21846" r="66994" b="21385"/>
          <a:stretch xmlns:a="http://schemas.openxmlformats.org/drawingml/2006/main"/>
        </cdr:blipFill>
        <cdr:spPr bwMode="auto">
          <a:xfrm xmlns:a="http://schemas.openxmlformats.org/drawingml/2006/main">
            <a:off x="3600359" y="42863"/>
            <a:ext cx="362684" cy="357189"/>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grpSp>
  </cdr:relSizeAnchor>
</c:userShapes>
</file>

<file path=xl/drawings/drawing4.xml><?xml version="1.0" encoding="utf-8"?>
<xdr:wsDr xmlns:xdr="http://schemas.openxmlformats.org/drawingml/2006/spreadsheetDrawing" xmlns:a="http://schemas.openxmlformats.org/drawingml/2006/main">
  <xdr:twoCellAnchor editAs="oneCell">
    <xdr:from>
      <xdr:col>2</xdr:col>
      <xdr:colOff>2546943</xdr:colOff>
      <xdr:row>8</xdr:row>
      <xdr:rowOff>214992</xdr:rowOff>
    </xdr:from>
    <xdr:to>
      <xdr:col>3</xdr:col>
      <xdr:colOff>104181</xdr:colOff>
      <xdr:row>10</xdr:row>
      <xdr:rowOff>205075</xdr:rowOff>
    </xdr:to>
    <xdr:pic>
      <xdr:nvPicPr>
        <xdr:cNvPr id="2" name="Picture 1">
          <a:extLst>
            <a:ext uri="{FF2B5EF4-FFF2-40B4-BE49-F238E27FC236}">
              <a16:creationId xmlns:a16="http://schemas.microsoft.com/office/drawing/2014/main" id="{DC9A0163-9DB3-40E2-A092-8048F56DCB8F}"/>
            </a:ext>
          </a:extLst>
        </xdr:cNvPr>
        <xdr:cNvPicPr>
          <a:picLocks noChangeAspect="1"/>
        </xdr:cNvPicPr>
      </xdr:nvPicPr>
      <xdr:blipFill>
        <a:blip xmlns:r="http://schemas.openxmlformats.org/officeDocument/2006/relationships" r:embed="rId1"/>
        <a:stretch>
          <a:fillRect/>
        </a:stretch>
      </xdr:blipFill>
      <xdr:spPr>
        <a:xfrm>
          <a:off x="3778843" y="2754992"/>
          <a:ext cx="408388" cy="625083"/>
        </a:xfrm>
        <a:prstGeom prst="rect">
          <a:avLst/>
        </a:prstGeom>
      </xdr:spPr>
    </xdr:pic>
    <xdr:clientData/>
  </xdr:twoCellAnchor>
  <xdr:twoCellAnchor editAs="oneCell">
    <xdr:from>
      <xdr:col>7</xdr:col>
      <xdr:colOff>110334</xdr:colOff>
      <xdr:row>5</xdr:row>
      <xdr:rowOff>57483</xdr:rowOff>
    </xdr:from>
    <xdr:to>
      <xdr:col>9</xdr:col>
      <xdr:colOff>574040</xdr:colOff>
      <xdr:row>13</xdr:row>
      <xdr:rowOff>159135</xdr:rowOff>
    </xdr:to>
    <xdr:pic>
      <xdr:nvPicPr>
        <xdr:cNvPr id="3" name="Picture 2">
          <a:extLst>
            <a:ext uri="{FF2B5EF4-FFF2-40B4-BE49-F238E27FC236}">
              <a16:creationId xmlns:a16="http://schemas.microsoft.com/office/drawing/2014/main" id="{AFE9AAB2-704A-486F-8491-2E8377542BD9}"/>
            </a:ext>
          </a:extLst>
        </xdr:cNvPr>
        <xdr:cNvPicPr>
          <a:picLocks noChangeAspect="1"/>
        </xdr:cNvPicPr>
      </xdr:nvPicPr>
      <xdr:blipFill>
        <a:blip xmlns:r="http://schemas.openxmlformats.org/officeDocument/2006/relationships" r:embed="rId2"/>
        <a:stretch>
          <a:fillRect/>
        </a:stretch>
      </xdr:blipFill>
      <xdr:spPr>
        <a:xfrm>
          <a:off x="6657184" y="1644983"/>
          <a:ext cx="1695606" cy="26416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pat@seksipa.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mailto:Jan.Casino@SolvivaEnergy.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970EA-61F0-499A-8FBD-7CD8F2DFA401}">
  <sheetPr codeName="Sheet1"/>
  <dimension ref="A1:Q97"/>
  <sheetViews>
    <sheetView topLeftCell="A21" zoomScale="110" zoomScaleNormal="110" workbookViewId="0">
      <selection activeCell="C27" sqref="C27"/>
    </sheetView>
  </sheetViews>
  <sheetFormatPr defaultColWidth="8.7109375" defaultRowHeight="10.5" x14ac:dyDescent="0.15"/>
  <cols>
    <col min="1" max="1" width="8.7109375" style="130"/>
    <col min="2" max="2" width="40.5703125" style="103" customWidth="1"/>
    <col min="3" max="8" width="15.5703125" style="103" customWidth="1"/>
    <col min="9" max="16384" width="8.7109375" style="103"/>
  </cols>
  <sheetData>
    <row r="1" spans="1:7" x14ac:dyDescent="0.15">
      <c r="A1" s="292">
        <v>0.35</v>
      </c>
    </row>
    <row r="2" spans="1:7" x14ac:dyDescent="0.15">
      <c r="A2" s="160">
        <f>CALCULATOR!AI22</f>
        <v>7287.7115019270414</v>
      </c>
    </row>
    <row r="3" spans="1:7" x14ac:dyDescent="0.15">
      <c r="A3" s="103"/>
    </row>
    <row r="4" spans="1:7" x14ac:dyDescent="0.15">
      <c r="A4" s="103"/>
      <c r="B4" s="254" t="s">
        <v>219</v>
      </c>
      <c r="C4" s="102" t="s">
        <v>25</v>
      </c>
      <c r="D4" s="102" t="s">
        <v>24</v>
      </c>
      <c r="E4" s="246" t="s">
        <v>26</v>
      </c>
    </row>
    <row r="5" spans="1:7" x14ac:dyDescent="0.15">
      <c r="B5" s="255" t="s">
        <v>11</v>
      </c>
      <c r="C5" s="256">
        <v>1</v>
      </c>
      <c r="D5" s="257">
        <v>0.5</v>
      </c>
      <c r="E5" s="247">
        <f t="shared" ref="E5:E17" si="0">C5*D5</f>
        <v>0.5</v>
      </c>
    </row>
    <row r="6" spans="1:7" x14ac:dyDescent="0.15">
      <c r="B6" s="255" t="s">
        <v>12</v>
      </c>
      <c r="C6" s="256">
        <v>1.3</v>
      </c>
      <c r="D6" s="257">
        <v>0.5</v>
      </c>
      <c r="E6" s="247">
        <f t="shared" si="0"/>
        <v>0.65</v>
      </c>
    </row>
    <row r="7" spans="1:7" x14ac:dyDescent="0.15">
      <c r="B7" s="255" t="s">
        <v>13</v>
      </c>
      <c r="C7" s="256">
        <v>1.8</v>
      </c>
      <c r="D7" s="257">
        <v>0.5</v>
      </c>
      <c r="E7" s="247">
        <f t="shared" si="0"/>
        <v>0.9</v>
      </c>
    </row>
    <row r="8" spans="1:7" x14ac:dyDescent="0.15">
      <c r="B8" s="255" t="s">
        <v>14</v>
      </c>
      <c r="C8" s="256">
        <v>2</v>
      </c>
      <c r="D8" s="257">
        <v>0.5</v>
      </c>
      <c r="E8" s="247">
        <f t="shared" si="0"/>
        <v>1</v>
      </c>
    </row>
    <row r="9" spans="1:7" x14ac:dyDescent="0.15">
      <c r="B9" s="255" t="s">
        <v>15</v>
      </c>
      <c r="C9" s="256">
        <v>2.8</v>
      </c>
      <c r="D9" s="257">
        <v>0.5</v>
      </c>
      <c r="E9" s="247">
        <f t="shared" si="0"/>
        <v>1.4</v>
      </c>
    </row>
    <row r="10" spans="1:7" x14ac:dyDescent="0.15">
      <c r="B10" s="255" t="s">
        <v>16</v>
      </c>
      <c r="C10" s="256">
        <v>1</v>
      </c>
      <c r="D10" s="257">
        <v>1</v>
      </c>
      <c r="E10" s="247">
        <f t="shared" si="0"/>
        <v>1</v>
      </c>
      <c r="G10" s="104"/>
    </row>
    <row r="11" spans="1:7" x14ac:dyDescent="0.15">
      <c r="B11" s="255" t="s">
        <v>17</v>
      </c>
      <c r="C11" s="256">
        <v>1.5</v>
      </c>
      <c r="D11" s="257">
        <v>0.9</v>
      </c>
      <c r="E11" s="247">
        <f t="shared" si="0"/>
        <v>1.35</v>
      </c>
      <c r="G11" s="104"/>
    </row>
    <row r="12" spans="1:7" x14ac:dyDescent="0.15">
      <c r="B12" s="255" t="s">
        <v>18</v>
      </c>
      <c r="C12" s="256">
        <v>2.5</v>
      </c>
      <c r="D12" s="257">
        <v>0.9</v>
      </c>
      <c r="E12" s="247">
        <f t="shared" si="0"/>
        <v>2.25</v>
      </c>
      <c r="G12" s="104"/>
    </row>
    <row r="13" spans="1:7" x14ac:dyDescent="0.15">
      <c r="B13" s="255" t="s">
        <v>19</v>
      </c>
      <c r="C13" s="256">
        <v>3</v>
      </c>
      <c r="D13" s="257">
        <v>0.8</v>
      </c>
      <c r="E13" s="247">
        <f t="shared" si="0"/>
        <v>2.4000000000000004</v>
      </c>
      <c r="G13" s="104"/>
    </row>
    <row r="14" spans="1:7" x14ac:dyDescent="0.15">
      <c r="B14" s="255" t="s">
        <v>20</v>
      </c>
      <c r="C14" s="256">
        <v>1.5</v>
      </c>
      <c r="D14" s="257">
        <v>0.9</v>
      </c>
      <c r="E14" s="247">
        <f t="shared" si="0"/>
        <v>1.35</v>
      </c>
      <c r="G14" s="104"/>
    </row>
    <row r="15" spans="1:7" x14ac:dyDescent="0.15">
      <c r="B15" s="255" t="s">
        <v>21</v>
      </c>
      <c r="C15" s="256">
        <v>9.6</v>
      </c>
      <c r="D15" s="257">
        <v>0.9</v>
      </c>
      <c r="E15" s="247">
        <f t="shared" si="0"/>
        <v>8.64</v>
      </c>
      <c r="G15" s="104"/>
    </row>
    <row r="16" spans="1:7" x14ac:dyDescent="0.15">
      <c r="B16" s="255" t="s">
        <v>22</v>
      </c>
      <c r="C16" s="256">
        <v>0.8</v>
      </c>
      <c r="D16" s="257">
        <v>0.7</v>
      </c>
      <c r="E16" s="247">
        <f t="shared" si="0"/>
        <v>0.55999999999999994</v>
      </c>
      <c r="G16" s="104"/>
    </row>
    <row r="17" spans="2:7" x14ac:dyDescent="0.15">
      <c r="B17" s="255" t="s">
        <v>23</v>
      </c>
      <c r="C17" s="256">
        <v>5</v>
      </c>
      <c r="D17" s="257">
        <v>0.8</v>
      </c>
      <c r="E17" s="247">
        <f t="shared" si="0"/>
        <v>4</v>
      </c>
      <c r="G17" s="104"/>
    </row>
    <row r="19" spans="2:7" ht="15" x14ac:dyDescent="0.15">
      <c r="B19" s="288" t="s">
        <v>199</v>
      </c>
      <c r="C19" s="287">
        <v>0.28000000000000003</v>
      </c>
    </row>
    <row r="20" spans="2:7" x14ac:dyDescent="0.15">
      <c r="B20" s="245" t="s">
        <v>212</v>
      </c>
      <c r="C20" s="229">
        <v>8</v>
      </c>
      <c r="D20" s="105">
        <f>C20*C27/1000</f>
        <v>5.04</v>
      </c>
    </row>
    <row r="21" spans="2:7" x14ac:dyDescent="0.15">
      <c r="B21" s="245" t="str">
        <f>"Risk Premium for less than "&amp;C20&amp;" Panels ("&amp;TEXT(D20,"0.0")&amp;"kWp)"</f>
        <v>Risk Premium for less than 8 Panels (5.0kWp)</v>
      </c>
      <c r="C21" s="230">
        <v>200</v>
      </c>
    </row>
    <row r="22" spans="2:7" ht="12.75" x14ac:dyDescent="0.15">
      <c r="B22" s="263" t="s">
        <v>200</v>
      </c>
      <c r="C22" s="262">
        <f>C19+IF(CALCULATOR!Z6&lt;C20,C21/10000,0)</f>
        <v>0.28000000000000003</v>
      </c>
    </row>
    <row r="24" spans="2:7" x14ac:dyDescent="0.15">
      <c r="B24" s="121" t="s">
        <v>0</v>
      </c>
      <c r="C24" s="122">
        <v>0.05</v>
      </c>
    </row>
    <row r="26" spans="2:7" x14ac:dyDescent="0.15">
      <c r="B26" s="254" t="s">
        <v>220</v>
      </c>
      <c r="D26" s="103" t="s">
        <v>94</v>
      </c>
      <c r="E26" s="248" t="s">
        <v>95</v>
      </c>
    </row>
    <row r="27" spans="2:7" ht="15" x14ac:dyDescent="0.2">
      <c r="B27" s="285" t="s">
        <v>211</v>
      </c>
      <c r="C27" s="291">
        <v>630</v>
      </c>
      <c r="E27" s="248"/>
    </row>
    <row r="28" spans="2:7" x14ac:dyDescent="0.15">
      <c r="B28" s="103" t="s">
        <v>89</v>
      </c>
      <c r="D28" s="107">
        <f>7192*70%/(1-A1)</f>
        <v>7745.2307692307686</v>
      </c>
      <c r="E28" s="249">
        <f>PMT($C$22/12,60,-D28,,1)*60</f>
        <v>14139.329285539492</v>
      </c>
    </row>
    <row r="29" spans="2:7" x14ac:dyDescent="0.15">
      <c r="B29" s="103" t="s">
        <v>87</v>
      </c>
      <c r="D29" s="107">
        <f>6000*70%/(1-A1)</f>
        <v>6461.538461538461</v>
      </c>
      <c r="E29" s="249">
        <f>PMT($C$22/12,60,-D29,,1)*60</f>
        <v>11795.880938992903</v>
      </c>
    </row>
    <row r="30" spans="2:7" x14ac:dyDescent="0.15">
      <c r="B30" s="103" t="s">
        <v>86</v>
      </c>
      <c r="C30" s="124">
        <v>0.16</v>
      </c>
    </row>
    <row r="32" spans="2:7" x14ac:dyDescent="0.15">
      <c r="B32" s="258" t="s">
        <v>126</v>
      </c>
      <c r="C32" s="125"/>
    </row>
    <row r="33" spans="1:17" s="153" customFormat="1" ht="27" x14ac:dyDescent="0.15">
      <c r="A33" s="151"/>
      <c r="B33" s="152" t="s">
        <v>79</v>
      </c>
      <c r="C33" s="154" t="s">
        <v>127</v>
      </c>
      <c r="D33" s="154" t="s">
        <v>128</v>
      </c>
      <c r="E33" s="154" t="s">
        <v>129</v>
      </c>
      <c r="F33" s="154" t="s">
        <v>130</v>
      </c>
      <c r="G33" s="260" t="s">
        <v>48</v>
      </c>
    </row>
    <row r="34" spans="1:17" x14ac:dyDescent="0.15">
      <c r="B34" s="116">
        <v>1</v>
      </c>
      <c r="C34" s="124">
        <v>0.34</v>
      </c>
      <c r="D34" s="124">
        <v>0.1</v>
      </c>
      <c r="E34" s="124">
        <v>0.15</v>
      </c>
      <c r="F34" s="124">
        <v>0.1</v>
      </c>
      <c r="G34" s="261">
        <f>SUM(C34:F34)</f>
        <v>0.69000000000000006</v>
      </c>
      <c r="H34" s="127"/>
      <c r="I34" s="127"/>
      <c r="J34" s="127"/>
      <c r="K34" s="127"/>
      <c r="L34" s="127"/>
      <c r="M34" s="127"/>
      <c r="N34" s="127"/>
      <c r="O34" s="127"/>
      <c r="P34" s="127"/>
      <c r="Q34" s="127"/>
    </row>
    <row r="35" spans="1:17" x14ac:dyDescent="0.15">
      <c r="B35" s="116">
        <v>8</v>
      </c>
      <c r="C35" s="118">
        <v>0.34</v>
      </c>
      <c r="D35" s="118">
        <v>0.1</v>
      </c>
      <c r="E35" s="118">
        <v>0.15</v>
      </c>
      <c r="F35" s="118">
        <v>0.1</v>
      </c>
      <c r="G35" s="261">
        <f t="shared" ref="G35:G41" si="1">SUM(C35:F35)</f>
        <v>0.69000000000000006</v>
      </c>
    </row>
    <row r="36" spans="1:17" x14ac:dyDescent="0.15">
      <c r="B36" s="116">
        <v>10</v>
      </c>
      <c r="C36" s="118">
        <v>0.34</v>
      </c>
      <c r="D36" s="118">
        <v>0.08</v>
      </c>
      <c r="E36" s="118">
        <v>0.14000000000000001</v>
      </c>
      <c r="F36" s="118">
        <v>0.1</v>
      </c>
      <c r="G36" s="261">
        <f t="shared" si="1"/>
        <v>0.66</v>
      </c>
    </row>
    <row r="37" spans="1:17" x14ac:dyDescent="0.15">
      <c r="B37" s="116">
        <v>13</v>
      </c>
      <c r="C37" s="118">
        <v>0.34</v>
      </c>
      <c r="D37" s="118">
        <v>0.08</v>
      </c>
      <c r="E37" s="118">
        <v>0.14000000000000001</v>
      </c>
      <c r="F37" s="118">
        <v>0.1</v>
      </c>
      <c r="G37" s="261">
        <f t="shared" si="1"/>
        <v>0.66</v>
      </c>
    </row>
    <row r="38" spans="1:17" x14ac:dyDescent="0.15">
      <c r="B38" s="116">
        <v>16</v>
      </c>
      <c r="C38" s="118">
        <v>0.27</v>
      </c>
      <c r="D38" s="118">
        <v>0.08</v>
      </c>
      <c r="E38" s="118">
        <v>0.14000000000000001</v>
      </c>
      <c r="F38" s="118">
        <v>0.09</v>
      </c>
      <c r="G38" s="261">
        <f t="shared" si="1"/>
        <v>0.58000000000000007</v>
      </c>
    </row>
    <row r="39" spans="1:17" x14ac:dyDescent="0.15">
      <c r="B39" s="116">
        <v>19</v>
      </c>
      <c r="C39" s="118">
        <v>0.23</v>
      </c>
      <c r="D39" s="118">
        <v>0.08</v>
      </c>
      <c r="E39" s="118">
        <v>0.12</v>
      </c>
      <c r="F39" s="118">
        <v>0.08</v>
      </c>
      <c r="G39" s="261">
        <f t="shared" si="1"/>
        <v>0.51</v>
      </c>
    </row>
    <row r="40" spans="1:17" x14ac:dyDescent="0.15">
      <c r="B40" s="116">
        <v>24</v>
      </c>
      <c r="C40" s="118">
        <v>0.18</v>
      </c>
      <c r="D40" s="118">
        <v>7.0000000000000007E-2</v>
      </c>
      <c r="E40" s="118">
        <v>0.09</v>
      </c>
      <c r="F40" s="118">
        <v>0.06</v>
      </c>
      <c r="G40" s="261">
        <f t="shared" si="1"/>
        <v>0.39999999999999997</v>
      </c>
    </row>
    <row r="41" spans="1:17" x14ac:dyDescent="0.15">
      <c r="B41" s="116">
        <v>31</v>
      </c>
      <c r="C41" s="118">
        <v>0.18</v>
      </c>
      <c r="D41" s="118">
        <v>7.0000000000000007E-2</v>
      </c>
      <c r="E41" s="118">
        <v>0.09</v>
      </c>
      <c r="F41" s="118">
        <v>0.05</v>
      </c>
      <c r="G41" s="261">
        <f t="shared" si="1"/>
        <v>0.38999999999999996</v>
      </c>
    </row>
    <row r="43" spans="1:17" x14ac:dyDescent="0.15">
      <c r="D43" s="103" t="s">
        <v>94</v>
      </c>
      <c r="E43" s="248" t="s">
        <v>95</v>
      </c>
    </row>
    <row r="44" spans="1:17" ht="12" x14ac:dyDescent="0.2">
      <c r="B44" s="48" t="s">
        <v>90</v>
      </c>
      <c r="D44" s="107">
        <f>1200*70%/(1-A1)</f>
        <v>1292.3076923076922</v>
      </c>
      <c r="E44" s="249">
        <f t="shared" ref="E44:E52" si="2">PMT($C$22/12,60,-D44,,1)*60</f>
        <v>2359.1761877985805</v>
      </c>
    </row>
    <row r="45" spans="1:17" ht="12" x14ac:dyDescent="0.2">
      <c r="B45" s="48" t="s">
        <v>91</v>
      </c>
      <c r="D45" s="107">
        <f>2560*70%/(1-A1)</f>
        <v>2756.9230769230767</v>
      </c>
      <c r="E45" s="249">
        <f t="shared" si="2"/>
        <v>5032.9092006369719</v>
      </c>
    </row>
    <row r="46" spans="1:17" x14ac:dyDescent="0.15">
      <c r="B46" s="136" t="s">
        <v>132</v>
      </c>
      <c r="D46" s="107">
        <f>7200*70%/(1-A1)</f>
        <v>7753.8461538461534</v>
      </c>
      <c r="E46" s="249">
        <f t="shared" si="2"/>
        <v>14155.057126791486</v>
      </c>
    </row>
    <row r="47" spans="1:17" ht="12" x14ac:dyDescent="0.15">
      <c r="B47" s="137" t="s">
        <v>92</v>
      </c>
      <c r="D47" s="107">
        <f>6400*70%/(1-A1)</f>
        <v>6892.3076923076924</v>
      </c>
      <c r="E47" s="249">
        <f t="shared" si="2"/>
        <v>12582.273001592432</v>
      </c>
    </row>
    <row r="48" spans="1:17" ht="12" x14ac:dyDescent="0.15">
      <c r="B48" s="137" t="s">
        <v>93</v>
      </c>
      <c r="D48" s="107">
        <f>80*70%/(1-A1)</f>
        <v>86.153846153846146</v>
      </c>
      <c r="E48" s="250">
        <f t="shared" si="2"/>
        <v>157.27841251990537</v>
      </c>
    </row>
    <row r="49" spans="1:6" x14ac:dyDescent="0.15">
      <c r="B49" s="138" t="s">
        <v>103</v>
      </c>
      <c r="D49" s="107">
        <f>3335*70%/(1-A1)</f>
        <v>3591.5384615384614</v>
      </c>
      <c r="E49" s="249">
        <f t="shared" si="2"/>
        <v>6556.5438219235557</v>
      </c>
    </row>
    <row r="50" spans="1:6" x14ac:dyDescent="0.15">
      <c r="B50" s="136" t="s">
        <v>104</v>
      </c>
      <c r="D50" s="107">
        <f>11200*70%/(1-A1)</f>
        <v>12061.538461538459</v>
      </c>
      <c r="E50" s="249">
        <f t="shared" si="2"/>
        <v>22018.977752786748</v>
      </c>
    </row>
    <row r="51" spans="1:6" x14ac:dyDescent="0.15">
      <c r="B51" s="136" t="s">
        <v>216</v>
      </c>
      <c r="D51" s="169">
        <v>500</v>
      </c>
      <c r="E51" s="249">
        <f t="shared" si="2"/>
        <v>912.77650123159378</v>
      </c>
    </row>
    <row r="52" spans="1:6" x14ac:dyDescent="0.15">
      <c r="B52" s="136" t="s">
        <v>217</v>
      </c>
      <c r="D52" s="169">
        <v>5000</v>
      </c>
      <c r="E52" s="249">
        <f t="shared" si="2"/>
        <v>9127.7650123159365</v>
      </c>
    </row>
    <row r="53" spans="1:6" x14ac:dyDescent="0.15">
      <c r="E53" s="107"/>
    </row>
    <row r="54" spans="1:6" ht="11.25" x14ac:dyDescent="0.2">
      <c r="A54" s="130" t="s">
        <v>122</v>
      </c>
      <c r="B54" s="254" t="s">
        <v>133</v>
      </c>
      <c r="C54" s="120" t="s">
        <v>163</v>
      </c>
      <c r="D54" s="116" t="s">
        <v>94</v>
      </c>
      <c r="E54" s="248" t="s">
        <v>95</v>
      </c>
      <c r="F54" s="120"/>
    </row>
    <row r="55" spans="1:6" ht="11.25" x14ac:dyDescent="0.2">
      <c r="A55" s="286">
        <v>0</v>
      </c>
      <c r="B55" s="129" t="s">
        <v>83</v>
      </c>
      <c r="C55" s="120"/>
      <c r="D55" s="107">
        <v>0</v>
      </c>
      <c r="E55" s="249">
        <v>0</v>
      </c>
    </row>
    <row r="56" spans="1:6" ht="11.25" x14ac:dyDescent="0.2">
      <c r="A56" s="286">
        <v>0.01</v>
      </c>
      <c r="B56" s="129" t="str">
        <f>TEXT(C56,"0.00")&amp;" kW Inverter"</f>
        <v>5.00 kW Inverter</v>
      </c>
      <c r="C56" s="289">
        <v>5</v>
      </c>
      <c r="D56" s="107">
        <f>61600*70%/(1-A1)</f>
        <v>66338.461538461532</v>
      </c>
      <c r="E56" s="249">
        <f>PMT(ADMIN!$C$22/12,60,-D56,,1)*60</f>
        <v>121104.37764032712</v>
      </c>
    </row>
    <row r="57" spans="1:6" ht="11.25" x14ac:dyDescent="0.2">
      <c r="A57" s="286">
        <f>C56</f>
        <v>5</v>
      </c>
      <c r="B57" s="129" t="str">
        <f t="shared" ref="B57:B60" si="3">TEXT(C57,"0.00")&amp;" kW Inverter"</f>
        <v>6.00 kW Inverter</v>
      </c>
      <c r="C57" s="289">
        <v>6</v>
      </c>
      <c r="D57" s="107">
        <f>69600*70%/(1-A1)</f>
        <v>74953.846153846156</v>
      </c>
      <c r="E57" s="249">
        <f>PMT(ADMIN!$C$22/12,60,-D57,,1)*60</f>
        <v>136832.2188923177</v>
      </c>
    </row>
    <row r="58" spans="1:6" ht="11.25" x14ac:dyDescent="0.2">
      <c r="A58" s="286">
        <f t="shared" ref="A58:A60" si="4">C57</f>
        <v>6</v>
      </c>
      <c r="B58" s="129" t="str">
        <f t="shared" si="3"/>
        <v>8.00 kW Inverter</v>
      </c>
      <c r="C58" s="289">
        <v>8</v>
      </c>
      <c r="D58" s="107">
        <f>92000*70%/(1-A1)</f>
        <v>99076.923076923063</v>
      </c>
      <c r="E58" s="249">
        <f>PMT(ADMIN!$C$22/12,60,-D58,,1)*60</f>
        <v>180870.17439789118</v>
      </c>
    </row>
    <row r="59" spans="1:6" ht="11.25" x14ac:dyDescent="0.2">
      <c r="A59" s="286">
        <f t="shared" si="4"/>
        <v>8</v>
      </c>
      <c r="B59" s="129" t="str">
        <f t="shared" si="3"/>
        <v>12.00 kW Inverter</v>
      </c>
      <c r="C59" s="289">
        <v>12</v>
      </c>
      <c r="D59" s="107">
        <f>128800*70%/(1-A1)</f>
        <v>138707.69230769231</v>
      </c>
      <c r="E59" s="249">
        <f>PMT(ADMIN!$C$22/12,60,-D59,,1)*60</f>
        <v>253218.24415704765</v>
      </c>
    </row>
    <row r="60" spans="1:6" ht="11.25" x14ac:dyDescent="0.2">
      <c r="A60" s="286">
        <f t="shared" si="4"/>
        <v>12</v>
      </c>
      <c r="B60" s="129" t="str">
        <f t="shared" si="3"/>
        <v>16.00 kW Inverter</v>
      </c>
      <c r="C60" s="289">
        <v>16</v>
      </c>
      <c r="D60" s="107">
        <f>175200*70%/(1-A1)</f>
        <v>188676.92307692303</v>
      </c>
      <c r="E60" s="249">
        <f>PMT(ADMIN!$C$22/12,60,-D60,,1)*60</f>
        <v>344439.72341859271</v>
      </c>
    </row>
    <row r="61" spans="1:6" x14ac:dyDescent="0.15">
      <c r="B61" s="136" t="s">
        <v>214</v>
      </c>
      <c r="D61" s="169">
        <v>5000</v>
      </c>
      <c r="E61" s="249">
        <f>PMT(ADMIN!$C$22/12,60,-D61,,1)*60</f>
        <v>9127.7650123159365</v>
      </c>
    </row>
    <row r="62" spans="1:6" x14ac:dyDescent="0.15">
      <c r="B62" s="136" t="s">
        <v>215</v>
      </c>
      <c r="D62" s="169">
        <v>5000</v>
      </c>
      <c r="E62" s="249">
        <f>PMT(ADMIN!$C$22/12,60,-D62,,1)*60</f>
        <v>9127.7650123159365</v>
      </c>
    </row>
    <row r="63" spans="1:6" ht="15" x14ac:dyDescent="0.2">
      <c r="B63" s="284" t="s">
        <v>201</v>
      </c>
      <c r="C63" s="290">
        <v>1.6</v>
      </c>
      <c r="D63" s="169"/>
      <c r="E63" s="123"/>
    </row>
    <row r="65" spans="1:5" x14ac:dyDescent="0.15">
      <c r="B65" s="254" t="s">
        <v>131</v>
      </c>
      <c r="D65" s="116" t="s">
        <v>94</v>
      </c>
      <c r="E65" s="248" t="s">
        <v>95</v>
      </c>
    </row>
    <row r="66" spans="1:5" x14ac:dyDescent="0.15">
      <c r="B66" s="103" t="s">
        <v>108</v>
      </c>
      <c r="D66" s="107">
        <f>3105*70%/(1-A1)</f>
        <v>3343.8461538461538</v>
      </c>
      <c r="E66" s="251">
        <f>PMT($C$22/12,60,-D66,,1)*60</f>
        <v>6104.3683859288285</v>
      </c>
    </row>
    <row r="67" spans="1:5" x14ac:dyDescent="0.15">
      <c r="B67" s="103" t="s">
        <v>109</v>
      </c>
      <c r="D67" s="107">
        <f>2180*70%/(1-A1)</f>
        <v>2347.6923076923076</v>
      </c>
      <c r="E67" s="251">
        <f>PMT($C$22/12,60,-D67,,1)*60</f>
        <v>4285.8367411674217</v>
      </c>
    </row>
    <row r="68" spans="1:5" x14ac:dyDescent="0.15">
      <c r="B68" s="103" t="s">
        <v>110</v>
      </c>
      <c r="D68" s="107">
        <v>0</v>
      </c>
      <c r="E68" s="251">
        <f>PMT($C$22/12,60,-D68,,1)*60</f>
        <v>0</v>
      </c>
    </row>
    <row r="69" spans="1:5" x14ac:dyDescent="0.15">
      <c r="B69" s="103" t="s">
        <v>111</v>
      </c>
      <c r="D69" s="107">
        <f>8000*70%/(1-A1)</f>
        <v>8615.3846153846152</v>
      </c>
      <c r="E69" s="251">
        <f>PMT($C$22/12,60,-D69,,1)*60</f>
        <v>15727.84125199054</v>
      </c>
    </row>
    <row r="70" spans="1:5" x14ac:dyDescent="0.15">
      <c r="B70" s="103" t="s">
        <v>112</v>
      </c>
      <c r="D70" s="107">
        <f>4800*70%/(1-A1)</f>
        <v>5169.2307692307686</v>
      </c>
      <c r="E70" s="251">
        <f>PMT($C$22/12,60,-D70,,1)*60</f>
        <v>9436.7047511943219</v>
      </c>
    </row>
    <row r="71" spans="1:5" ht="11.25" thickBot="1" x14ac:dyDescent="0.2">
      <c r="B71" s="132" t="s">
        <v>113</v>
      </c>
      <c r="C71" s="139"/>
      <c r="D71" s="131">
        <f>SUM(D66:D70)</f>
        <v>19476.153846153844</v>
      </c>
      <c r="E71" s="252">
        <f>SUM(E66:E70)</f>
        <v>35554.751130281111</v>
      </c>
    </row>
    <row r="73" spans="1:5" ht="12" x14ac:dyDescent="0.2">
      <c r="A73" s="130" t="s">
        <v>123</v>
      </c>
      <c r="B73" s="259" t="s">
        <v>97</v>
      </c>
      <c r="D73" s="103" t="s">
        <v>94</v>
      </c>
      <c r="E73" s="253" t="s">
        <v>95</v>
      </c>
    </row>
    <row r="74" spans="1:5" x14ac:dyDescent="0.15">
      <c r="A74" s="106">
        <f>CALCULATOR!Z26/5</f>
        <v>0</v>
      </c>
      <c r="B74" s="135" t="s">
        <v>114</v>
      </c>
      <c r="D74" s="107">
        <f>68960*70%/(1-A1)</f>
        <v>74264.615384615376</v>
      </c>
      <c r="E74" s="251">
        <f t="shared" ref="E74:E79" si="5">PMT($C$22/12,60,-D74,,1)*60</f>
        <v>135573.99159215845</v>
      </c>
    </row>
    <row r="75" spans="1:5" x14ac:dyDescent="0.15">
      <c r="A75" s="106">
        <f>ROUNDUP(A74/3,0)</f>
        <v>0</v>
      </c>
      <c r="B75" s="135" t="s">
        <v>98</v>
      </c>
      <c r="D75" s="107">
        <f>8000*70%/(1-A1)</f>
        <v>8615.3846153846152</v>
      </c>
      <c r="E75" s="251">
        <f t="shared" si="5"/>
        <v>15727.84125199054</v>
      </c>
    </row>
    <row r="76" spans="1:5" x14ac:dyDescent="0.15">
      <c r="A76" s="106">
        <v>1</v>
      </c>
      <c r="B76" s="135" t="s">
        <v>99</v>
      </c>
      <c r="D76" s="107">
        <f>9600*70%/(1-A1)</f>
        <v>10338.461538461537</v>
      </c>
      <c r="E76" s="251">
        <f t="shared" si="5"/>
        <v>18873.409502388644</v>
      </c>
    </row>
    <row r="77" spans="1:5" x14ac:dyDescent="0.15">
      <c r="A77" s="106">
        <v>1</v>
      </c>
      <c r="B77" s="135" t="s">
        <v>100</v>
      </c>
      <c r="D77" s="107">
        <f>3520*70%/(1-A1)</f>
        <v>3790.7692307692305</v>
      </c>
      <c r="E77" s="251">
        <f t="shared" si="5"/>
        <v>6920.2501508758369</v>
      </c>
    </row>
    <row r="78" spans="1:5" x14ac:dyDescent="0.15">
      <c r="A78" s="106">
        <f>IF(CALCULATOR!AA6&gt;0,1,0)</f>
        <v>1</v>
      </c>
      <c r="B78" s="135" t="s">
        <v>218</v>
      </c>
      <c r="D78" s="107">
        <f>16800*70%/(1-A1)</f>
        <v>18092.307692307691</v>
      </c>
      <c r="E78" s="251">
        <f t="shared" si="5"/>
        <v>33028.466629180126</v>
      </c>
    </row>
    <row r="79" spans="1:5" x14ac:dyDescent="0.15">
      <c r="A79" s="106">
        <f>1-A78</f>
        <v>0</v>
      </c>
      <c r="B79" s="135" t="s">
        <v>124</v>
      </c>
      <c r="D79" s="107">
        <f>42400*70%/(1-A1)</f>
        <v>45661.538461538454</v>
      </c>
      <c r="E79" s="251">
        <f t="shared" si="5"/>
        <v>83357.558635549853</v>
      </c>
    </row>
    <row r="80" spans="1:5" x14ac:dyDescent="0.15">
      <c r="D80" s="117"/>
    </row>
    <row r="81" spans="1:3" x14ac:dyDescent="0.15">
      <c r="B81" s="254" t="s">
        <v>145</v>
      </c>
    </row>
    <row r="82" spans="1:3" x14ac:dyDescent="0.15">
      <c r="B82" s="103" t="s">
        <v>146</v>
      </c>
      <c r="C82" s="116">
        <v>3.6</v>
      </c>
    </row>
    <row r="83" spans="1:3" x14ac:dyDescent="0.15">
      <c r="B83" s="103" t="s">
        <v>147</v>
      </c>
      <c r="C83" s="172">
        <v>0.98</v>
      </c>
    </row>
    <row r="84" spans="1:3" x14ac:dyDescent="0.15">
      <c r="B84" s="103" t="s">
        <v>148</v>
      </c>
      <c r="C84" s="172">
        <v>0.95</v>
      </c>
    </row>
    <row r="85" spans="1:3" x14ac:dyDescent="0.15">
      <c r="B85" s="103" t="s">
        <v>149</v>
      </c>
      <c r="C85" s="172">
        <v>5.0000000000000001E-3</v>
      </c>
    </row>
    <row r="86" spans="1:3" x14ac:dyDescent="0.15">
      <c r="B86" s="103" t="s">
        <v>150</v>
      </c>
      <c r="C86" s="172">
        <v>0.06</v>
      </c>
    </row>
    <row r="87" spans="1:3" x14ac:dyDescent="0.15">
      <c r="B87" s="103" t="s">
        <v>242</v>
      </c>
      <c r="C87" s="172">
        <v>0.03</v>
      </c>
    </row>
    <row r="88" spans="1:3" x14ac:dyDescent="0.15">
      <c r="B88" s="103" t="s">
        <v>170</v>
      </c>
      <c r="C88" s="124">
        <v>0.5</v>
      </c>
    </row>
    <row r="89" spans="1:3" x14ac:dyDescent="0.15">
      <c r="B89" s="103" t="s">
        <v>221</v>
      </c>
      <c r="C89" s="169">
        <v>500</v>
      </c>
    </row>
    <row r="90" spans="1:3" x14ac:dyDescent="0.15">
      <c r="B90" s="103" t="s">
        <v>222</v>
      </c>
      <c r="C90" s="169">
        <v>5000</v>
      </c>
    </row>
    <row r="91" spans="1:3" x14ac:dyDescent="0.15">
      <c r="B91" s="121" t="s">
        <v>151</v>
      </c>
      <c r="C91" s="122">
        <v>0.06</v>
      </c>
    </row>
    <row r="93" spans="1:3" x14ac:dyDescent="0.15">
      <c r="A93" s="106" t="s">
        <v>213</v>
      </c>
      <c r="B93" s="254" t="s">
        <v>152</v>
      </c>
    </row>
    <row r="94" spans="1:3" x14ac:dyDescent="0.15">
      <c r="A94" s="106" t="s">
        <v>162</v>
      </c>
      <c r="B94" s="103" t="s">
        <v>156</v>
      </c>
      <c r="C94" s="173">
        <v>0.01</v>
      </c>
    </row>
    <row r="95" spans="1:3" x14ac:dyDescent="0.15">
      <c r="A95" s="106" t="s">
        <v>159</v>
      </c>
      <c r="B95" s="103" t="s">
        <v>153</v>
      </c>
      <c r="C95" s="173">
        <v>0.05</v>
      </c>
    </row>
    <row r="96" spans="1:3" x14ac:dyDescent="0.15">
      <c r="A96" s="106" t="s">
        <v>160</v>
      </c>
      <c r="B96" s="103" t="s">
        <v>154</v>
      </c>
      <c r="C96" s="173">
        <v>7.0000000000000007E-2</v>
      </c>
    </row>
    <row r="97" spans="1:3" x14ac:dyDescent="0.15">
      <c r="A97" s="106" t="s">
        <v>161</v>
      </c>
      <c r="B97" s="103" t="s">
        <v>155</v>
      </c>
      <c r="C97" s="173">
        <v>0.05</v>
      </c>
    </row>
  </sheetData>
  <sheetProtection algorithmName="SHA-512" hashValue="4wUY1tiS4jS2hGAunDRwnY2hCyx7nIbkdIgmAjOgbH/znsTGGvWiADpQIQe6566n7D3IcZBNWfQl8Q8LTrGABg==" saltValue="pmYFwQKZTb7500YckWN/rw==" spinCount="100000" sheet="1" selectLockedCells="1"/>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9353D-0AE5-4FCE-A1A0-456234EA4750}">
  <sheetPr codeName="Sheet2">
    <pageSetUpPr fitToPage="1"/>
  </sheetPr>
  <dimension ref="A1:AK125"/>
  <sheetViews>
    <sheetView showGridLines="0" tabSelected="1" topLeftCell="N6" zoomScale="80" zoomScaleNormal="80" workbookViewId="0">
      <selection activeCell="AP17" sqref="AP17"/>
    </sheetView>
  </sheetViews>
  <sheetFormatPr defaultColWidth="9.5703125" defaultRowHeight="15" customHeight="1" x14ac:dyDescent="0.25"/>
  <cols>
    <col min="1" max="9" width="9.5703125" style="3" hidden="1" customWidth="1"/>
    <col min="10" max="11" width="9.5703125" style="2" hidden="1" customWidth="1"/>
    <col min="12" max="12" width="9.5703125" style="1" hidden="1" customWidth="1"/>
    <col min="13" max="13" width="9.5703125" style="3" hidden="1" customWidth="1"/>
    <col min="14" max="14" width="3.5703125" style="3" customWidth="1"/>
    <col min="15" max="16" width="10.140625" style="12" bestFit="1" customWidth="1"/>
    <col min="17" max="20" width="9.5703125" style="12"/>
    <col min="21" max="21" width="3.5703125" style="3" customWidth="1"/>
    <col min="22" max="22" width="9.5703125" style="3"/>
    <col min="23" max="23" width="9.5703125" style="3" customWidth="1"/>
    <col min="24" max="27" width="9.5703125" style="3"/>
    <col min="28" max="28" width="10.42578125" style="141" hidden="1" customWidth="1"/>
    <col min="29" max="29" width="3.5703125" style="100" customWidth="1"/>
    <col min="30" max="35" width="9.5703125" style="100" customWidth="1"/>
    <col min="36" max="36" width="3.5703125" style="100" customWidth="1"/>
    <col min="37" max="37" width="9.5703125" style="3"/>
    <col min="38" max="16384" width="9.5703125" style="2"/>
  </cols>
  <sheetData>
    <row r="1" spans="1:37" ht="5.0999999999999996" customHeight="1" x14ac:dyDescent="0.25"/>
    <row r="2" spans="1:37" ht="15" customHeight="1" x14ac:dyDescent="0.25">
      <c r="O2" s="363" t="s">
        <v>227</v>
      </c>
      <c r="P2" s="364"/>
      <c r="Q2" s="364"/>
      <c r="R2" s="364"/>
      <c r="S2" s="364"/>
      <c r="T2" s="365"/>
      <c r="V2" s="304" t="s">
        <v>226</v>
      </c>
      <c r="W2" s="305"/>
      <c r="X2" s="305"/>
      <c r="Y2" s="305"/>
      <c r="Z2" s="305"/>
      <c r="AA2" s="306"/>
      <c r="AB2" s="351" t="s">
        <v>125</v>
      </c>
      <c r="AD2" s="304" t="s">
        <v>225</v>
      </c>
      <c r="AE2" s="305"/>
      <c r="AF2" s="305"/>
      <c r="AG2" s="305"/>
      <c r="AH2" s="305"/>
      <c r="AI2" s="306"/>
    </row>
    <row r="3" spans="1:37" ht="15" customHeight="1" x14ac:dyDescent="0.25">
      <c r="A3" s="194" t="str">
        <f>O2</f>
        <v>STEP-1: TELL US ABOUT YOUR CONSUMPTION</v>
      </c>
      <c r="F3" s="194" t="str">
        <f>V2</f>
        <v>STEP-2: SELECT YOUR SOLVIVA PACKAGES</v>
      </c>
      <c r="J3" s="194" t="str">
        <f>AD2</f>
        <v>STEP-3: DEFINE YOUR PAYMENT TERM</v>
      </c>
      <c r="O3" s="366"/>
      <c r="P3" s="367"/>
      <c r="Q3" s="367"/>
      <c r="R3" s="367"/>
      <c r="S3" s="367"/>
      <c r="T3" s="368"/>
      <c r="V3" s="307"/>
      <c r="W3" s="308"/>
      <c r="X3" s="308"/>
      <c r="Y3" s="308"/>
      <c r="Z3" s="308"/>
      <c r="AA3" s="309"/>
      <c r="AB3" s="351"/>
      <c r="AD3" s="307"/>
      <c r="AE3" s="308"/>
      <c r="AF3" s="308"/>
      <c r="AG3" s="308"/>
      <c r="AH3" s="308"/>
      <c r="AI3" s="309"/>
    </row>
    <row r="4" spans="1:37" ht="15" customHeight="1" x14ac:dyDescent="0.25">
      <c r="AA4" s="369" t="s">
        <v>120</v>
      </c>
      <c r="AB4" s="351"/>
      <c r="AD4" s="3"/>
      <c r="AE4" s="3"/>
      <c r="AF4" s="3"/>
      <c r="AG4" s="3"/>
      <c r="AH4" s="2"/>
      <c r="AI4" s="108"/>
      <c r="AK4" s="2"/>
    </row>
    <row r="5" spans="1:37" ht="15" customHeight="1" x14ac:dyDescent="0.25">
      <c r="G5" s="1"/>
      <c r="H5" s="221"/>
      <c r="O5" s="345" t="s">
        <v>138</v>
      </c>
      <c r="P5" s="345"/>
      <c r="Q5" s="345"/>
      <c r="R5" s="345"/>
      <c r="S5" s="345"/>
      <c r="T5" s="345"/>
      <c r="V5" s="330" t="s">
        <v>134</v>
      </c>
      <c r="W5" s="330"/>
      <c r="X5" s="330"/>
      <c r="Y5" s="330"/>
      <c r="Z5" s="330"/>
      <c r="AA5" s="370"/>
      <c r="AB5" s="351"/>
      <c r="AD5" s="3"/>
      <c r="AE5" s="3"/>
      <c r="AF5" s="3"/>
      <c r="AH5" s="4" t="s">
        <v>121</v>
      </c>
      <c r="AI5" s="109">
        <f>SUM(AA6:AA11,AA14:AA16,AA19:AA23,AA26:AA30,AA35:AA36)</f>
        <v>437262.69011562178</v>
      </c>
      <c r="AK5" s="2"/>
    </row>
    <row r="6" spans="1:37" ht="15" customHeight="1" x14ac:dyDescent="0.2">
      <c r="F6" s="225">
        <v>0.1</v>
      </c>
      <c r="G6" s="1"/>
      <c r="L6" s="1" t="s">
        <v>172</v>
      </c>
      <c r="M6" s="203">
        <f>IFERROR(VLOOKUP(AF6,ADMIN!A94:C97,3,FALSE),0)</f>
        <v>0</v>
      </c>
      <c r="O6" s="158" t="s">
        <v>140</v>
      </c>
      <c r="P6" s="341" t="s">
        <v>174</v>
      </c>
      <c r="Q6" s="342"/>
      <c r="R6" s="343"/>
      <c r="S6" s="231"/>
      <c r="T6" s="231"/>
      <c r="V6" s="353" t="s">
        <v>192</v>
      </c>
      <c r="W6" s="353"/>
      <c r="X6" s="353"/>
      <c r="Y6" s="223">
        <f>Z6*ADMIN!C27/1000</f>
        <v>5.04</v>
      </c>
      <c r="Z6" s="224">
        <f>W7</f>
        <v>8</v>
      </c>
      <c r="AA6" s="119">
        <f>Z6*ADMIN!E28</f>
        <v>113114.63428431594</v>
      </c>
      <c r="AB6" s="142">
        <f>PV(ADMIN!$C$22/12,60,-AA6/60,,1)</f>
        <v>61961.846153846243</v>
      </c>
      <c r="AD6" s="3"/>
      <c r="AE6" s="1" t="s">
        <v>158</v>
      </c>
      <c r="AF6" s="177"/>
      <c r="AG6" s="359" t="str">
        <f>IFERROR(TEXT(M6,"0.0%")&amp;" "&amp;VLOOKUP(AF6,ADMIN!A94:B97,2,FALSE)&amp;" Discount","")</f>
        <v/>
      </c>
      <c r="AH6" s="360"/>
      <c r="AI6" s="126">
        <f>-M6*AI5</f>
        <v>0</v>
      </c>
      <c r="AK6" s="2"/>
    </row>
    <row r="7" spans="1:37" ht="15" customHeight="1" x14ac:dyDescent="0.25">
      <c r="F7" s="225">
        <v>0.2</v>
      </c>
      <c r="G7" s="1"/>
      <c r="J7" s="3">
        <v>1</v>
      </c>
      <c r="L7" s="204" t="s">
        <v>157</v>
      </c>
      <c r="M7" s="161">
        <f>SUM(AI5:AI6)</f>
        <v>437262.69011562178</v>
      </c>
      <c r="O7" s="158" t="s">
        <v>141</v>
      </c>
      <c r="P7" s="354" t="s">
        <v>175</v>
      </c>
      <c r="Q7" s="355"/>
      <c r="R7" s="356"/>
      <c r="S7" s="231"/>
      <c r="T7" s="231"/>
      <c r="V7" s="227">
        <v>0.5</v>
      </c>
      <c r="W7" s="352">
        <f>ROUNDUP(Q33,0)</f>
        <v>8</v>
      </c>
      <c r="X7" s="352"/>
      <c r="Z7" s="4" t="s">
        <v>88</v>
      </c>
      <c r="AA7" s="126">
        <f>IF(AA6=0,0,MAX(ADMIN!E29,AA6*ADMIN!C30))</f>
        <v>18098.34148549055</v>
      </c>
      <c r="AB7" s="143">
        <f>PV(ADMIN!$C$22/12,60,-AA7/60,,1)</f>
        <v>9913.8953846153981</v>
      </c>
      <c r="AD7" s="345" t="s">
        <v>224</v>
      </c>
      <c r="AE7" s="345"/>
      <c r="AF7" s="345"/>
      <c r="AG7" s="345"/>
      <c r="AH7" s="178">
        <v>60</v>
      </c>
      <c r="AI7" s="2"/>
      <c r="AK7" s="2"/>
    </row>
    <row r="8" spans="1:37" ht="15" customHeight="1" x14ac:dyDescent="0.2">
      <c r="A8" s="321" t="s">
        <v>178</v>
      </c>
      <c r="B8" s="322" t="s">
        <v>69</v>
      </c>
      <c r="C8" s="321" t="s">
        <v>179</v>
      </c>
      <c r="D8" s="322" t="s">
        <v>70</v>
      </c>
      <c r="E8" s="161"/>
      <c r="F8" s="225">
        <v>0.3</v>
      </c>
      <c r="I8" s="161"/>
      <c r="J8" s="3">
        <v>2</v>
      </c>
      <c r="L8" s="204" t="s">
        <v>1</v>
      </c>
      <c r="M8" s="161">
        <f>PV(ADMIN!C22/12,60,-M7/60,,1)</f>
        <v>239523.41538461571</v>
      </c>
      <c r="N8" s="161"/>
      <c r="O8" s="158" t="s">
        <v>139</v>
      </c>
      <c r="P8" s="341" t="s">
        <v>142</v>
      </c>
      <c r="Q8" s="342"/>
      <c r="R8" s="343"/>
      <c r="S8" s="231"/>
      <c r="T8" s="231"/>
      <c r="Z8" s="4" t="s">
        <v>96</v>
      </c>
      <c r="AA8" s="126">
        <f>IFERROR(VLOOKUP(Z6,ADMIN!B34:G41,6,TRUE)*AA6,0)</f>
        <v>78049.097656177997</v>
      </c>
      <c r="AB8" s="143">
        <f>PV(ADMIN!$C$22/12,60,-AA8/60,,1)</f>
        <v>42753.673846153906</v>
      </c>
      <c r="AD8" s="113"/>
      <c r="AE8" s="113"/>
      <c r="AF8" s="113"/>
      <c r="AG8" s="113"/>
      <c r="AH8" s="5" t="str">
        <f>TEXT(-AI8/M7,"0.0%")&amp;" Early Payment Discount (EPD)"</f>
        <v>0.0% Early Payment Discount (EPD)</v>
      </c>
      <c r="AI8" s="110">
        <f>AI9-SUM(AI5:AI6)</f>
        <v>6.9849193096160889E-10</v>
      </c>
      <c r="AK8" s="2"/>
    </row>
    <row r="9" spans="1:37" ht="15" customHeight="1" x14ac:dyDescent="0.25">
      <c r="A9" s="321"/>
      <c r="B9" s="322"/>
      <c r="C9" s="321"/>
      <c r="D9" s="322"/>
      <c r="E9" s="195"/>
      <c r="F9" s="225">
        <v>0.4</v>
      </c>
      <c r="G9" s="196"/>
      <c r="H9" s="205"/>
      <c r="I9" s="195"/>
      <c r="J9" s="3">
        <v>3</v>
      </c>
      <c r="L9" s="204" t="s">
        <v>2</v>
      </c>
      <c r="M9" s="161">
        <f>PMT(ADMIN!C22/12,AH7,-M8,,1)</f>
        <v>7287.7115019270414</v>
      </c>
      <c r="N9" s="161"/>
      <c r="Y9" s="4" t="s">
        <v>80</v>
      </c>
      <c r="Z9" s="176">
        <v>0</v>
      </c>
      <c r="AA9" s="126">
        <f>IF(AA6=0,0,Z9*ADMIN!E44)</f>
        <v>0</v>
      </c>
      <c r="AB9" s="143">
        <f>PV(ADMIN!$C$22/12,60,-AA9/60,,1)</f>
        <v>0</v>
      </c>
      <c r="AD9" s="3"/>
      <c r="AE9" s="3"/>
      <c r="AF9" s="3"/>
      <c r="AG9" s="3"/>
      <c r="AH9" s="7" t="s">
        <v>5</v>
      </c>
      <c r="AI9" s="111">
        <f>M9*AH7</f>
        <v>437262.69011562248</v>
      </c>
      <c r="AK9" s="2"/>
    </row>
    <row r="10" spans="1:37" ht="15" customHeight="1" x14ac:dyDescent="0.25">
      <c r="A10" s="197">
        <f>IF(OR(R16="",S16=""),0,(MAX(0,MIN(MOD(R16-6/24,1)+IF(R16=S16,1,IF(R16&lt;R16,S16+1-R16,S16-R16)),0.5)-MAX(MOD(R16-6/24,1),0))+MAX(0,MIN(MOD(R16-6/24,1)+IF(R16=S16,1,IF(S16&lt;R16,S16+1-R16,S16-R16)),1.5)-MAX(MOD(R16-6/24,1),1)))*24)*T16/7*365/12</f>
        <v>0</v>
      </c>
      <c r="B10" s="197">
        <f>IFERROR(A10*VLOOKUP($O16,ADMIN!$B$5:$E$17,4,FALSE)*$Q16,0)</f>
        <v>0</v>
      </c>
      <c r="C10" s="197">
        <f>IF(OR(R16="",S16=""),0,(MAX(0,MIN(MOD(R16-6/24,1)+IF(R16=S16,1,IF(S16&lt;R16,S16+1-R16,S16-R16)),1)-MAX(MOD(R16-6/24,1),0.5))+MAX(0,MIN(MOD(R16-6/24,1)+IF(R16=S16,1,IF(S16&lt;R16,S16+1-R16,S16-R16)),2)-MAX(MOD(R16-6/24,1),1.5)))*24)*T16/7*365/12</f>
        <v>0</v>
      </c>
      <c r="D10" s="197">
        <f>IFERROR(C10*VLOOKUP($O16,ADMIN!$B$5:$E$17,4,FALSE)*$Q16,0)</f>
        <v>0</v>
      </c>
      <c r="E10" s="197"/>
      <c r="F10" s="225">
        <v>0.5</v>
      </c>
      <c r="G10" s="196"/>
      <c r="H10" s="205"/>
      <c r="I10" s="197"/>
      <c r="J10" s="3">
        <v>4</v>
      </c>
      <c r="L10" s="204"/>
      <c r="O10" s="345" t="s">
        <v>209</v>
      </c>
      <c r="P10" s="345"/>
      <c r="Q10" s="345"/>
      <c r="R10" s="345"/>
      <c r="S10" s="358"/>
      <c r="T10" s="181">
        <v>14.5</v>
      </c>
      <c r="Y10" s="4" t="s">
        <v>81</v>
      </c>
      <c r="Z10" s="176">
        <v>0</v>
      </c>
      <c r="AA10" s="126">
        <f>IF(AA6=0,0,Z10*ADMIN!E45)</f>
        <v>0</v>
      </c>
      <c r="AB10" s="143">
        <f>PV(ADMIN!$C$22/12,60,-AA10/60,,1)</f>
        <v>0</v>
      </c>
      <c r="AD10" s="3"/>
      <c r="AE10" s="3"/>
      <c r="AF10" s="3"/>
      <c r="AG10" s="3"/>
      <c r="AH10" s="7"/>
      <c r="AI10" s="111"/>
      <c r="AK10" s="2"/>
    </row>
    <row r="11" spans="1:37" ht="15" customHeight="1" x14ac:dyDescent="0.25">
      <c r="A11" s="197">
        <f t="shared" ref="A11:A16" si="0">IF(OR(R17="",S17=""),0,(MAX(0,MIN(MOD(R17-6/24,1)+IF(R17=S17,1,IF(R17&lt;R17,S17+1-R17,S17-R17)),0.5)-MAX(MOD(R17-6/24,1),0))+MAX(0,MIN(MOD(R17-6/24,1)+IF(R17=S17,1,IF(S17&lt;R17,S17+1-R17,S17-R17)),1.5)-MAX(MOD(R17-6/24,1),1)))*24)*T17/7*365/12</f>
        <v>0</v>
      </c>
      <c r="B11" s="197">
        <f>IFERROR(A11*VLOOKUP($O17,ADMIN!$B$5:$E$17,4,FALSE)*$Q17,0)</f>
        <v>0</v>
      </c>
      <c r="C11" s="197">
        <f t="shared" ref="C11:C16" si="1">IF(OR(R17="",S17=""),0,(MAX(0,MIN(MOD(R17-6/24,1)+IF(R17=S17,1,IF(S17&lt;R17,S17+1-R17,S17-R17)),1)-MAX(MOD(R17-6/24,1),0.5))+MAX(0,MIN(MOD(R17-6/24,1)+IF(R17=S17,1,IF(S17&lt;R17,S17+1-R17,S17-R17)),2)-MAX(MOD(R17-6/24,1),1.5)))*24)*T17/7*365/12</f>
        <v>0</v>
      </c>
      <c r="D11" s="197">
        <f>IFERROR(C11*VLOOKUP($O17,ADMIN!$B$5:$E$17,4,FALSE)*$Q17,0)</f>
        <v>0</v>
      </c>
      <c r="E11" s="197"/>
      <c r="F11" s="225">
        <v>0.6</v>
      </c>
      <c r="G11" s="196" t="s">
        <v>82</v>
      </c>
      <c r="H11" s="190" t="b">
        <v>0</v>
      </c>
      <c r="I11" s="197"/>
      <c r="J11" s="3">
        <v>5</v>
      </c>
      <c r="L11" s="204"/>
      <c r="O11" s="140"/>
      <c r="P11" s="140"/>
      <c r="Q11" s="140"/>
      <c r="R11" s="140"/>
      <c r="S11" s="140"/>
      <c r="T11" s="157"/>
      <c r="Z11" s="4" t="s">
        <v>102</v>
      </c>
      <c r="AA11" s="126">
        <f>Y6*ADMIN!E46+IF(AA6=0,0,ADMIN!E71)</f>
        <v>106896.23904931018</v>
      </c>
      <c r="AB11" s="143">
        <f>PV(ADMIN!$C$22/12,60,-AA11/60,,1)</f>
        <v>58555.538461538548</v>
      </c>
      <c r="AD11" s="345" t="s">
        <v>171</v>
      </c>
      <c r="AE11" s="345"/>
      <c r="AF11" s="345"/>
      <c r="AG11" s="345"/>
      <c r="AH11" s="179">
        <v>0</v>
      </c>
      <c r="AI11" s="2"/>
      <c r="AK11" s="2"/>
    </row>
    <row r="12" spans="1:37" ht="15" customHeight="1" x14ac:dyDescent="0.25">
      <c r="A12" s="197">
        <f t="shared" si="0"/>
        <v>0</v>
      </c>
      <c r="B12" s="197">
        <f>IFERROR(A12*VLOOKUP($O18,ADMIN!$B$5:$E$17,4,FALSE)*$Q18,0)</f>
        <v>0</v>
      </c>
      <c r="C12" s="197">
        <f t="shared" si="1"/>
        <v>0</v>
      </c>
      <c r="D12" s="197">
        <f>IFERROR(C12*VLOOKUP($O18,ADMIN!$B$5:$E$17,4,FALSE)*$Q18,0)</f>
        <v>0</v>
      </c>
      <c r="E12" s="197"/>
      <c r="F12" s="225">
        <v>0.7</v>
      </c>
      <c r="G12" s="197"/>
      <c r="H12" s="197"/>
      <c r="I12" s="197"/>
      <c r="J12" s="3">
        <v>6</v>
      </c>
      <c r="L12" s="204" t="s">
        <v>7</v>
      </c>
      <c r="M12" s="161">
        <f>AI12*(1+ADMIN!C22/12)</f>
        <v>0</v>
      </c>
      <c r="O12" s="345" t="s">
        <v>210</v>
      </c>
      <c r="P12" s="345"/>
      <c r="Q12" s="345"/>
      <c r="R12" s="345"/>
      <c r="S12" s="358"/>
      <c r="T12" s="180">
        <v>15000</v>
      </c>
      <c r="AD12" s="6"/>
      <c r="AE12" s="6"/>
      <c r="AF12" s="6"/>
      <c r="AG12" s="6"/>
      <c r="AH12" s="4" t="str">
        <f>TEXT(AH11,"#%")&amp;" Pre-Installation DP Amount"</f>
        <v>% Pre-Installation DP Amount</v>
      </c>
      <c r="AI12" s="112">
        <f>AH11*AI9</f>
        <v>0</v>
      </c>
      <c r="AK12" s="2"/>
    </row>
    <row r="13" spans="1:37" ht="15" customHeight="1" x14ac:dyDescent="0.25">
      <c r="A13" s="197">
        <f t="shared" si="0"/>
        <v>0</v>
      </c>
      <c r="B13" s="197">
        <f>IFERROR(A13*VLOOKUP($O19,ADMIN!$B$5:$E$17,4,FALSE)*$Q19,0)</f>
        <v>0</v>
      </c>
      <c r="C13" s="197">
        <f t="shared" si="1"/>
        <v>0</v>
      </c>
      <c r="D13" s="197">
        <f>IFERROR(C13*VLOOKUP($O19,ADMIN!$B$5:$E$17,4,FALSE)*$Q19,0)</f>
        <v>0</v>
      </c>
      <c r="E13" s="197"/>
      <c r="F13" s="225">
        <v>0.8</v>
      </c>
      <c r="I13" s="197"/>
      <c r="J13" s="3">
        <v>7</v>
      </c>
      <c r="L13" s="188" t="s">
        <v>3</v>
      </c>
      <c r="M13" s="191" t="b">
        <v>0</v>
      </c>
      <c r="O13" s="140"/>
      <c r="P13" s="140"/>
      <c r="Q13" s="140"/>
      <c r="R13" s="140"/>
      <c r="S13" s="140"/>
      <c r="T13" s="156"/>
      <c r="U13" s="6"/>
      <c r="V13" s="345" t="s">
        <v>176</v>
      </c>
      <c r="W13" s="345"/>
      <c r="X13" s="345"/>
      <c r="Y13" s="345"/>
      <c r="Z13" s="345"/>
      <c r="AA13" s="345"/>
      <c r="AB13" s="144"/>
      <c r="AD13" s="114"/>
      <c r="AE13" s="114"/>
      <c r="AF13" s="114"/>
      <c r="AG13" s="114"/>
      <c r="AH13" s="5" t="str">
        <f>TEXT(ADMIN!C24,"#%")&amp;" DP Credit Card Fee"</f>
        <v>5% DP Credit Card Fee</v>
      </c>
      <c r="AI13" s="110">
        <f>AI12*(ADMIN!C24*M13)</f>
        <v>0</v>
      </c>
      <c r="AK13" s="2"/>
    </row>
    <row r="14" spans="1:37" ht="15" customHeight="1" x14ac:dyDescent="0.25">
      <c r="A14" s="197">
        <f t="shared" si="0"/>
        <v>0</v>
      </c>
      <c r="B14" s="197">
        <f>IFERROR(A14*VLOOKUP($O20,ADMIN!$B$5:$E$17,4,FALSE)*$Q20,0)</f>
        <v>0</v>
      </c>
      <c r="C14" s="197">
        <f t="shared" si="1"/>
        <v>0</v>
      </c>
      <c r="D14" s="197">
        <f>IFERROR(C14*VLOOKUP($O20,ADMIN!$B$5:$E$17,4,FALSE)*$Q20,0)</f>
        <v>0</v>
      </c>
      <c r="E14" s="197"/>
      <c r="F14" s="225">
        <v>0.9</v>
      </c>
      <c r="I14" s="197"/>
      <c r="J14" s="3">
        <v>8</v>
      </c>
      <c r="L14" s="204" t="s">
        <v>8</v>
      </c>
      <c r="M14" s="161">
        <f>M8-M12</f>
        <v>239523.41538461571</v>
      </c>
      <c r="O14" s="349" t="s">
        <v>143</v>
      </c>
      <c r="P14" s="349"/>
      <c r="Q14" s="349"/>
      <c r="R14" s="349"/>
      <c r="S14" s="349"/>
      <c r="T14" s="349"/>
      <c r="U14" s="6"/>
      <c r="V14" s="2"/>
      <c r="W14" s="2"/>
      <c r="Z14" s="4"/>
      <c r="AA14" s="126">
        <f>IF(AA6=0,0,Z6*ADMIN!E49+ADMIN!E50)*H11</f>
        <v>0</v>
      </c>
      <c r="AB14" s="143">
        <f>PV(ADMIN!$C$22/12,60,-AA14/60,,1)</f>
        <v>0</v>
      </c>
      <c r="AD14" s="6"/>
      <c r="AE14" s="6"/>
      <c r="AF14" s="6"/>
      <c r="AG14" s="264" t="str">
        <f>IF(AI13=0,"DP Amount via Cash/Check/Bank-Transfer","DP Amount via Credit Card")</f>
        <v>DP Amount via Cash/Check/Bank-Transfer</v>
      </c>
      <c r="AH14" s="303">
        <f>AI12+AI13</f>
        <v>0</v>
      </c>
      <c r="AI14" s="303"/>
      <c r="AK14" s="2"/>
    </row>
    <row r="15" spans="1:37" ht="15" customHeight="1" x14ac:dyDescent="0.25">
      <c r="A15" s="197">
        <f t="shared" si="0"/>
        <v>0</v>
      </c>
      <c r="B15" s="197">
        <f>IFERROR(A15*VLOOKUP($O21,ADMIN!$B$5:$E$17,4,FALSE)*$Q21,0)</f>
        <v>0</v>
      </c>
      <c r="C15" s="197">
        <f t="shared" si="1"/>
        <v>0</v>
      </c>
      <c r="D15" s="197">
        <f>IFERROR(C15*VLOOKUP($O21,ADMIN!$B$5:$E$17,4,FALSE)*$Q21,0)</f>
        <v>0</v>
      </c>
      <c r="E15" s="197"/>
      <c r="F15" s="226">
        <v>1</v>
      </c>
      <c r="I15" s="197"/>
      <c r="J15" s="3">
        <v>9</v>
      </c>
      <c r="L15" s="204" t="s">
        <v>9</v>
      </c>
      <c r="M15" s="163">
        <f>PMT(ADMIN!C22/12,AH7,-M14,,1)</f>
        <v>7287.7115019270414</v>
      </c>
      <c r="N15" s="161"/>
      <c r="O15" s="350" t="s">
        <v>76</v>
      </c>
      <c r="P15" s="350"/>
      <c r="Q15" s="101" t="s">
        <v>77</v>
      </c>
      <c r="R15" s="101" t="s">
        <v>27</v>
      </c>
      <c r="S15" s="101" t="s">
        <v>28</v>
      </c>
      <c r="T15" s="101" t="s">
        <v>78</v>
      </c>
      <c r="U15" s="6"/>
      <c r="Y15" s="1" t="s">
        <v>105</v>
      </c>
      <c r="Z15" s="128">
        <v>3</v>
      </c>
      <c r="AA15" s="126">
        <f>IF(AA6=0,Z15*ADMIN!E49+ADMIN!E50,0)*H11</f>
        <v>0</v>
      </c>
      <c r="AB15" s="143">
        <f>PV(ADMIN!$C$22/12,60,-AA15/60,,1)</f>
        <v>0</v>
      </c>
      <c r="AD15" s="2"/>
      <c r="AE15" s="2"/>
      <c r="AF15" s="2"/>
      <c r="AG15" s="2"/>
      <c r="AH15" s="2"/>
      <c r="AI15" s="108"/>
      <c r="AK15" s="2"/>
    </row>
    <row r="16" spans="1:37" ht="15" customHeight="1" x14ac:dyDescent="0.2">
      <c r="A16" s="197">
        <f t="shared" si="0"/>
        <v>0</v>
      </c>
      <c r="B16" s="197">
        <f>IFERROR(A16*VLOOKUP($O22,ADMIN!$B$5:$E$17,4,FALSE)*$Q22,0)</f>
        <v>0</v>
      </c>
      <c r="C16" s="197">
        <f t="shared" si="1"/>
        <v>0</v>
      </c>
      <c r="D16" s="197">
        <f>IFERROR(C16*VLOOKUP($O22,ADMIN!$B$5:$E$17,4,FALSE)*$Q22,0)</f>
        <v>0</v>
      </c>
      <c r="E16" s="197"/>
      <c r="G16" s="238" t="s">
        <v>195</v>
      </c>
      <c r="H16" s="237" t="s">
        <v>194</v>
      </c>
      <c r="J16" s="3">
        <v>10</v>
      </c>
      <c r="L16" s="187"/>
      <c r="M16" s="2"/>
      <c r="N16" s="162"/>
      <c r="O16" s="323"/>
      <c r="P16" s="323"/>
      <c r="Q16" s="182">
        <v>1</v>
      </c>
      <c r="R16" s="183"/>
      <c r="S16" s="183"/>
      <c r="T16" s="133"/>
      <c r="U16" s="6"/>
      <c r="Z16" s="4" t="s">
        <v>106</v>
      </c>
      <c r="AA16" s="126">
        <f>IF(AA15&gt;0,Z15*ADMIN!E51+ADMIN!E52,0)</f>
        <v>0</v>
      </c>
      <c r="AB16" s="143">
        <f>PV(ADMIN!$C$22/12,60,-AA16/60,,1)</f>
        <v>0</v>
      </c>
      <c r="AC16" s="150"/>
      <c r="AD16" s="345" t="s">
        <v>136</v>
      </c>
      <c r="AE16" s="345"/>
      <c r="AF16" s="345"/>
      <c r="AG16" s="345"/>
      <c r="AH16" s="345"/>
      <c r="AI16" s="112">
        <f>AI9-AI12</f>
        <v>437262.69011562248</v>
      </c>
      <c r="AJ16" s="150"/>
      <c r="AK16" s="2"/>
    </row>
    <row r="17" spans="1:37" ht="15" customHeight="1" thickBot="1" x14ac:dyDescent="0.25">
      <c r="A17" s="198"/>
      <c r="B17" s="199">
        <f>SUM(B10:B16)</f>
        <v>0</v>
      </c>
      <c r="C17" s="198"/>
      <c r="D17" s="199">
        <f>SUM(D10:D16)</f>
        <v>0</v>
      </c>
      <c r="E17" s="200"/>
      <c r="F17" s="197"/>
      <c r="G17" s="240">
        <f>Y6/H17</f>
        <v>1.008</v>
      </c>
      <c r="H17" s="239">
        <f>SUM(H19:H21)</f>
        <v>5</v>
      </c>
      <c r="J17" s="3">
        <v>11</v>
      </c>
      <c r="L17" s="188"/>
      <c r="M17" s="162"/>
      <c r="N17" s="161"/>
      <c r="O17" s="323"/>
      <c r="P17" s="323"/>
      <c r="Q17" s="182">
        <v>1</v>
      </c>
      <c r="R17" s="183"/>
      <c r="S17" s="183"/>
      <c r="T17" s="133"/>
      <c r="U17" s="2"/>
      <c r="AD17" s="114"/>
      <c r="AE17" s="114"/>
      <c r="AF17" s="114"/>
      <c r="AG17" s="114"/>
      <c r="AH17" s="5" t="str">
        <f>"Additional Savings from your "&amp;TEXT(AH11,"#%")&amp;" Down Payment"</f>
        <v>Additional Savings from your % Down Payment</v>
      </c>
      <c r="AI17" s="110">
        <f>AI18-AI16</f>
        <v>0</v>
      </c>
      <c r="AK17" s="2"/>
    </row>
    <row r="18" spans="1:37" ht="15" customHeight="1" x14ac:dyDescent="0.2">
      <c r="A18" s="163"/>
      <c r="B18" s="163"/>
      <c r="C18" s="163"/>
      <c r="D18" s="163"/>
      <c r="E18" s="163"/>
      <c r="F18" s="235" t="s">
        <v>197</v>
      </c>
      <c r="G18" s="232">
        <f>Y6/ADMIN!C63</f>
        <v>3.15</v>
      </c>
      <c r="H18" s="233" t="s">
        <v>198</v>
      </c>
      <c r="I18" s="197"/>
      <c r="J18" s="3">
        <v>12</v>
      </c>
      <c r="L18" s="206" t="s">
        <v>173</v>
      </c>
      <c r="M18" s="192" t="b">
        <v>0</v>
      </c>
      <c r="N18" s="163"/>
      <c r="O18" s="323"/>
      <c r="P18" s="323"/>
      <c r="Q18" s="182">
        <v>1</v>
      </c>
      <c r="R18" s="183"/>
      <c r="S18" s="183"/>
      <c r="T18" s="133"/>
      <c r="U18" s="6"/>
      <c r="V18" s="345" t="s">
        <v>244</v>
      </c>
      <c r="W18" s="345"/>
      <c r="X18" s="345"/>
      <c r="Y18" s="345"/>
      <c r="Z18" s="345"/>
      <c r="AA18" s="345"/>
      <c r="AB18" s="145"/>
      <c r="AD18" s="6"/>
      <c r="AE18" s="6"/>
      <c r="AF18" s="6"/>
      <c r="AG18" s="6"/>
      <c r="AH18" s="4" t="str">
        <f>"Net BALANCE over "&amp;AH7&amp;" Months"</f>
        <v>Net BALANCE over 60 Months</v>
      </c>
      <c r="AI18" s="112">
        <f>M15*AH7</f>
        <v>437262.69011562248</v>
      </c>
      <c r="AK18" s="2"/>
    </row>
    <row r="19" spans="1:37" ht="15" customHeight="1" x14ac:dyDescent="0.2">
      <c r="A19" s="162"/>
      <c r="E19" s="167"/>
      <c r="F19" s="236" t="s">
        <v>84</v>
      </c>
      <c r="G19" s="234">
        <f>MIN(G18,ADMIN!C60)</f>
        <v>3.15</v>
      </c>
      <c r="H19" s="234">
        <f>VLOOKUP(Y19,ADMIN!$B$55:$C$60,2,FALSE)</f>
        <v>5</v>
      </c>
      <c r="I19" s="197"/>
      <c r="J19" s="3">
        <v>13</v>
      </c>
      <c r="L19" s="204" t="s">
        <v>4</v>
      </c>
      <c r="M19" s="193" t="b">
        <v>0</v>
      </c>
      <c r="N19" s="162"/>
      <c r="O19" s="323"/>
      <c r="P19" s="323"/>
      <c r="Q19" s="182">
        <v>1</v>
      </c>
      <c r="R19" s="183"/>
      <c r="S19" s="183"/>
      <c r="T19" s="133"/>
      <c r="U19" s="6"/>
      <c r="V19" s="159" t="s">
        <v>189</v>
      </c>
      <c r="W19" s="340" t="str">
        <f>VLOOKUP(G19,ADMIN!$A$55:$B$60,2,TRUE)</f>
        <v>5.00 kW Inverter</v>
      </c>
      <c r="X19" s="340"/>
      <c r="Y19" s="346" t="str">
        <f>W19</f>
        <v>5.00 kW Inverter</v>
      </c>
      <c r="Z19" s="347"/>
      <c r="AA19" s="126">
        <f>VLOOKUP(Y19,ADMIN!$B$55:$E$60,4,FALSE)</f>
        <v>121104.37764032712</v>
      </c>
      <c r="AB19" s="143">
        <f>PV(ADMIN!$C$22/12,60,-AA19/60,,1)</f>
        <v>66338.461538461634</v>
      </c>
      <c r="AD19" s="113"/>
      <c r="AE19" s="113"/>
      <c r="AF19" s="113"/>
      <c r="AG19" s="113"/>
      <c r="AH19" s="5" t="str">
        <f>TEXT(ADMIN!C24,"#%")&amp;" Credit Card Fee"</f>
        <v>5% Credit Card Fee</v>
      </c>
      <c r="AI19" s="110">
        <f>AI18*ADMIN!C24*M19</f>
        <v>0</v>
      </c>
      <c r="AK19" s="2"/>
    </row>
    <row r="20" spans="1:37" ht="15" customHeight="1" x14ac:dyDescent="0.2">
      <c r="A20" s="162"/>
      <c r="E20" s="167"/>
      <c r="F20" s="236" t="s">
        <v>85</v>
      </c>
      <c r="G20" s="234">
        <f>MIN(G18-G19,ADMIN!C60)</f>
        <v>0</v>
      </c>
      <c r="H20" s="234">
        <f>VLOOKUP(Y20,ADMIN!$B$55:$C$60,2,FALSE)</f>
        <v>0</v>
      </c>
      <c r="I20" s="197"/>
      <c r="J20" s="3">
        <v>14</v>
      </c>
      <c r="L20" s="204" t="s">
        <v>193</v>
      </c>
      <c r="M20" s="3" t="b">
        <f>OR(AH7=1,AH7=12,AH7=24,AH7=36)</f>
        <v>0</v>
      </c>
      <c r="N20" s="162"/>
      <c r="O20" s="323"/>
      <c r="P20" s="323"/>
      <c r="Q20" s="182">
        <v>1</v>
      </c>
      <c r="R20" s="183"/>
      <c r="S20" s="183"/>
      <c r="T20" s="133"/>
      <c r="U20" s="6"/>
      <c r="V20" s="159" t="s">
        <v>189</v>
      </c>
      <c r="W20" s="340" t="str">
        <f>VLOOKUP(G20,ADMIN!$A$55:$B$60,2,TRUE)</f>
        <v>None</v>
      </c>
      <c r="X20" s="340"/>
      <c r="Y20" s="346" t="str">
        <f>W20</f>
        <v>None</v>
      </c>
      <c r="Z20" s="347"/>
      <c r="AA20" s="126">
        <f>VLOOKUP(Y20,ADMIN!$B$55:$E$60,4,FALSE)</f>
        <v>0</v>
      </c>
      <c r="AB20" s="143">
        <f>PV(ADMIN!$C$22/12,60,-AA20/60,,1)</f>
        <v>0</v>
      </c>
      <c r="AD20" s="361" t="s">
        <v>137</v>
      </c>
      <c r="AE20" s="361"/>
      <c r="AF20" s="361"/>
      <c r="AG20" s="361"/>
      <c r="AH20" s="361"/>
      <c r="AI20" s="361"/>
      <c r="AK20" s="2"/>
    </row>
    <row r="21" spans="1:37" ht="15" customHeight="1" x14ac:dyDescent="0.2">
      <c r="A21" s="162"/>
      <c r="E21" s="167"/>
      <c r="F21" s="236" t="s">
        <v>196</v>
      </c>
      <c r="G21" s="234">
        <f>MIN(G18-G19-G20,ADMIN!C60)</f>
        <v>0</v>
      </c>
      <c r="H21" s="234">
        <f>VLOOKUP(Y21,ADMIN!$B$55:$C$60,2,FALSE)</f>
        <v>0</v>
      </c>
      <c r="J21" s="3">
        <v>15</v>
      </c>
      <c r="L21" s="204" t="s">
        <v>10</v>
      </c>
      <c r="M21" s="3" t="b">
        <f>AND(M20=FALSE,M19=TRUE)</f>
        <v>0</v>
      </c>
      <c r="N21" s="162"/>
      <c r="O21" s="323"/>
      <c r="P21" s="323"/>
      <c r="Q21" s="182">
        <v>1</v>
      </c>
      <c r="R21" s="183"/>
      <c r="S21" s="183"/>
      <c r="T21" s="133"/>
      <c r="V21" s="159" t="s">
        <v>189</v>
      </c>
      <c r="W21" s="340" t="str">
        <f>VLOOKUP(G21,ADMIN!$A$55:$B$60,2,TRUE)</f>
        <v>None</v>
      </c>
      <c r="X21" s="340"/>
      <c r="Y21" s="346" t="str">
        <f>W21</f>
        <v>None</v>
      </c>
      <c r="Z21" s="347"/>
      <c r="AA21" s="126">
        <f>VLOOKUP(Y21,ADMIN!B55:E60,4,FALSE)</f>
        <v>0</v>
      </c>
      <c r="AB21" s="143">
        <f>PV(ADMIN!$C$22/12,60,-AA21/60,,1)</f>
        <v>0</v>
      </c>
      <c r="AD21" s="3"/>
      <c r="AE21" s="3"/>
      <c r="AF21" s="3"/>
      <c r="AG21" s="264" t="str">
        <f>IF(AI19&gt;0,"Balance to be Charged on your Credit Card","Post-Installation Balance via PDCs")</f>
        <v>Post-Installation Balance via PDCs</v>
      </c>
      <c r="AH21" s="303">
        <f>AI18+AI19</f>
        <v>437262.69011562248</v>
      </c>
      <c r="AI21" s="303"/>
      <c r="AK21" s="2"/>
    </row>
    <row r="22" spans="1:37" ht="15" customHeight="1" x14ac:dyDescent="0.2">
      <c r="A22" s="162"/>
      <c r="E22" s="167"/>
      <c r="F22" s="197"/>
      <c r="J22" s="3">
        <v>16</v>
      </c>
      <c r="L22" s="2"/>
      <c r="M22" s="2"/>
      <c r="N22" s="162"/>
      <c r="O22" s="323"/>
      <c r="P22" s="323"/>
      <c r="Q22" s="182">
        <v>1</v>
      </c>
      <c r="R22" s="183"/>
      <c r="S22" s="183"/>
      <c r="T22" s="133"/>
      <c r="V22" s="348" t="str">
        <f>IFERROR("DC/AC Ratio = "&amp;TEXT(Y6,"0.0")&amp;"kW / "&amp;TEXT(H17,"0.0")&amp;"kW = "&amp;TEXT(G17,"0.00")&amp;"  -vs.-  Max of "&amp;TEXT(ADMIN!C63,"0.0"),"Select your Inverters.")</f>
        <v>DC/AC Ratio = 5.0kW / 5.0kW = 1.01  -vs.-  Max of 1.6</v>
      </c>
      <c r="W22" s="348"/>
      <c r="X22" s="348"/>
      <c r="Y22" s="348"/>
      <c r="Z22" s="348"/>
      <c r="AA22" s="348"/>
      <c r="AB22" s="174"/>
      <c r="AD22" s="3"/>
      <c r="AE22" s="3"/>
      <c r="AF22" s="3"/>
      <c r="AG22" s="1" t="str">
        <f>IF(M19=TRUE,"Your Monthly Credit Card Payment for "&amp;AH7&amp;" Months","Monthly PDC Amount for "&amp;AH7&amp;" Months")</f>
        <v>Monthly PDC Amount for 60 Months</v>
      </c>
      <c r="AI22" s="112">
        <f>M15*(1+ADMIN!C24*M19)</f>
        <v>7287.7115019270414</v>
      </c>
      <c r="AK22" s="2"/>
    </row>
    <row r="23" spans="1:37" ht="15" customHeight="1" x14ac:dyDescent="0.25">
      <c r="E23" s="167"/>
      <c r="F23" s="228">
        <f>ROUNDUP(Q33,0)</f>
        <v>8</v>
      </c>
      <c r="I23" s="197"/>
      <c r="J23" s="3">
        <v>17</v>
      </c>
      <c r="L23" s="2"/>
      <c r="M23" s="2"/>
      <c r="O23" s="344" t="str">
        <f>IF(Q27&lt;0,"Something doesn't add up.  Pls. review &amp; revise your inputs above.","")</f>
        <v/>
      </c>
      <c r="P23" s="344"/>
      <c r="Q23" s="344"/>
      <c r="R23" s="344"/>
      <c r="S23" s="344"/>
      <c r="T23" s="344"/>
      <c r="X23" s="4"/>
      <c r="Y23" s="12"/>
      <c r="Z23" s="4" t="s">
        <v>107</v>
      </c>
      <c r="AA23" s="126">
        <f>IF(OR(AA6&gt;0,SUM(AA19:AA21)=0),0,ADMIN!E61*COUNTIF(AA19:AA21,"&gt;0")+ADMIN!D62)</f>
        <v>0</v>
      </c>
      <c r="AB23" s="143">
        <f>PV(ADMIN!$C$22/12,60,-AA23/60,,1)</f>
        <v>0</v>
      </c>
      <c r="AD23" s="2"/>
      <c r="AE23" s="2"/>
      <c r="AF23" s="2"/>
      <c r="AG23" s="2"/>
      <c r="AH23" s="2"/>
      <c r="AI23" s="2"/>
      <c r="AK23" s="2"/>
    </row>
    <row r="24" spans="1:37" ht="15" customHeight="1" thickBot="1" x14ac:dyDescent="0.2">
      <c r="F24" s="12" t="s">
        <v>79</v>
      </c>
      <c r="G24" s="201" t="s">
        <v>101</v>
      </c>
      <c r="H24" s="3" t="b">
        <f>Z26&gt;0</f>
        <v>0</v>
      </c>
      <c r="I24" s="197"/>
      <c r="J24" s="3">
        <v>18</v>
      </c>
      <c r="O24" s="13"/>
      <c r="P24" s="13"/>
      <c r="Q24" s="13"/>
      <c r="R24" s="13"/>
      <c r="S24" s="13"/>
      <c r="T24" s="13"/>
      <c r="X24" s="4"/>
      <c r="Y24" s="12"/>
      <c r="Z24" s="12"/>
      <c r="AA24" s="126"/>
      <c r="AB24" s="149">
        <f>SUM(AB6:AB23)</f>
        <v>239523.41538461571</v>
      </c>
      <c r="AC24" s="150"/>
      <c r="AD24" s="310" t="s">
        <v>204</v>
      </c>
      <c r="AE24" s="311"/>
      <c r="AF24" s="317" t="str">
        <f>TEXT(AH11,"0%")&amp;" Pre-Installation"</f>
        <v>0% Pre-Installation</v>
      </c>
      <c r="AG24" s="317"/>
      <c r="AH24" s="317" t="s">
        <v>203</v>
      </c>
      <c r="AI24" s="317"/>
      <c r="AJ24" s="150"/>
      <c r="AK24" s="2"/>
    </row>
    <row r="25" spans="1:37" ht="15" customHeight="1" thickTop="1" x14ac:dyDescent="0.25">
      <c r="F25" s="218">
        <v>0</v>
      </c>
      <c r="G25" s="202">
        <v>0</v>
      </c>
      <c r="H25" s="197"/>
      <c r="I25" s="197"/>
      <c r="J25" s="3">
        <v>19</v>
      </c>
      <c r="L25" s="207" t="s">
        <v>6</v>
      </c>
      <c r="M25" s="164">
        <v>0</v>
      </c>
      <c r="O25" s="13"/>
      <c r="P25" s="165" t="s">
        <v>72</v>
      </c>
      <c r="Q25" s="166">
        <f>T12/T10</f>
        <v>1034.4827586206898</v>
      </c>
      <c r="R25" s="167">
        <f>Q25/$Q$25</f>
        <v>1</v>
      </c>
      <c r="S25" s="13"/>
      <c r="T25" s="13"/>
      <c r="U25" s="2"/>
      <c r="V25" s="345" t="s">
        <v>135</v>
      </c>
      <c r="W25" s="345"/>
      <c r="X25" s="345"/>
      <c r="Y25" s="362">
        <f>ROUNDUP(ROUND(SCHEDULE!G37,0)/5,0)*5</f>
        <v>5</v>
      </c>
      <c r="Z25" s="362"/>
      <c r="AA25" s="175"/>
      <c r="AB25" s="155"/>
      <c r="AC25" s="150"/>
      <c r="AD25" s="312" t="s">
        <v>205</v>
      </c>
      <c r="AE25" s="313"/>
      <c r="AF25" s="357" t="s">
        <v>202</v>
      </c>
      <c r="AG25" s="357"/>
      <c r="AH25" s="318" t="s">
        <v>2</v>
      </c>
      <c r="AI25" s="319"/>
      <c r="AJ25" s="150"/>
      <c r="AK25" s="2"/>
    </row>
    <row r="26" spans="1:37" ht="15" customHeight="1" x14ac:dyDescent="0.25">
      <c r="F26" s="219">
        <v>1</v>
      </c>
      <c r="G26" s="202">
        <v>5</v>
      </c>
      <c r="H26" s="197"/>
      <c r="I26" s="197"/>
      <c r="J26" s="3">
        <v>20</v>
      </c>
      <c r="L26" s="207"/>
      <c r="M26" s="164">
        <v>0.05</v>
      </c>
      <c r="O26" s="13"/>
      <c r="P26" s="165" t="s">
        <v>73</v>
      </c>
      <c r="Q26" s="166">
        <f>(B17+D17)</f>
        <v>0</v>
      </c>
      <c r="R26" s="167">
        <f>Q26/$Q$25</f>
        <v>0</v>
      </c>
      <c r="S26" s="13"/>
      <c r="T26" s="13"/>
      <c r="U26" s="2"/>
      <c r="V26" s="328" t="str">
        <f>ADMIN!B74&amp;" (x"&amp;ADMIN!A74&amp;")"</f>
        <v>5kW Pylontech Battery w/ Cables &amp; Lugs (x0)</v>
      </c>
      <c r="W26" s="328"/>
      <c r="X26" s="328"/>
      <c r="Y26" s="329"/>
      <c r="Z26" s="189">
        <v>0</v>
      </c>
      <c r="AA26" s="126">
        <f>ADMIN!A74*ADMIN!E74</f>
        <v>0</v>
      </c>
      <c r="AB26" s="143">
        <f>PV(ADMIN!$C$22/12,60,-AA26/60,,1)</f>
        <v>0</v>
      </c>
      <c r="AD26" s="265" t="s">
        <v>223</v>
      </c>
      <c r="AE26" s="266">
        <f>AH7</f>
        <v>60</v>
      </c>
      <c r="AF26" s="265"/>
      <c r="AG26" s="267">
        <f>AH14</f>
        <v>0</v>
      </c>
      <c r="AH26" s="265"/>
      <c r="AI26" s="267">
        <f>AI22</f>
        <v>7287.7115019270414</v>
      </c>
    </row>
    <row r="27" spans="1:37" ht="15" customHeight="1" x14ac:dyDescent="0.25">
      <c r="A27" s="164"/>
      <c r="B27" s="164"/>
      <c r="C27" s="164"/>
      <c r="D27" s="164"/>
      <c r="E27" s="164"/>
      <c r="F27" s="218">
        <v>2</v>
      </c>
      <c r="G27" s="202">
        <v>10</v>
      </c>
      <c r="H27" s="200"/>
      <c r="I27" s="200"/>
      <c r="J27" s="3">
        <v>21</v>
      </c>
      <c r="L27" s="207"/>
      <c r="M27" s="164">
        <v>0.1</v>
      </c>
      <c r="N27" s="164"/>
      <c r="O27" s="13"/>
      <c r="P27" s="165" t="s">
        <v>71</v>
      </c>
      <c r="Q27" s="166">
        <f>Q25-Q26</f>
        <v>1034.4827586206898</v>
      </c>
      <c r="R27" s="167">
        <f>Q27/$Q$25</f>
        <v>1</v>
      </c>
      <c r="S27" s="13"/>
      <c r="T27" s="13"/>
      <c r="Z27" s="4" t="str">
        <f>ADMIN!A75&amp;" unit/s Battery Rack"</f>
        <v>0 unit/s Battery Rack</v>
      </c>
      <c r="AA27" s="126">
        <f>ADMIN!A75*ADMIN!E75</f>
        <v>0</v>
      </c>
      <c r="AB27" s="143">
        <f>PV(ADMIN!$C$22/12,60,-AA27/60,,1)</f>
        <v>0</v>
      </c>
      <c r="AC27" s="150"/>
      <c r="AD27" s="314" t="str">
        <f>"Your "&amp;TEXT(AH11,"0%")&amp;" DP and Monthly Payment amounts under our most popular tenors"</f>
        <v>Your 0% DP and Monthly Payment amounts under our most popular tenors</v>
      </c>
      <c r="AE27" s="242">
        <v>1</v>
      </c>
      <c r="AF27" s="241">
        <f t="dataTable" ref="AF27:AI33" dt2D="0" dtr="0" r1="AH7"/>
        <v>0</v>
      </c>
      <c r="AG27" s="244">
        <v>0</v>
      </c>
      <c r="AH27" s="241">
        <v>0</v>
      </c>
      <c r="AI27" s="244">
        <v>239523.41538461574</v>
      </c>
      <c r="AJ27" s="150"/>
      <c r="AK27" s="2"/>
    </row>
    <row r="28" spans="1:37" ht="15" customHeight="1" x14ac:dyDescent="0.25">
      <c r="A28" s="164"/>
      <c r="B28" s="164"/>
      <c r="C28" s="164"/>
      <c r="D28" s="164"/>
      <c r="E28" s="164"/>
      <c r="F28" s="218">
        <v>3</v>
      </c>
      <c r="G28" s="202">
        <v>15</v>
      </c>
      <c r="H28" s="163"/>
      <c r="I28" s="163"/>
      <c r="J28" s="3">
        <v>22</v>
      </c>
      <c r="L28" s="207"/>
      <c r="M28" s="164">
        <v>0.15</v>
      </c>
      <c r="N28" s="164"/>
      <c r="O28" s="13"/>
      <c r="P28" s="165" t="s">
        <v>74</v>
      </c>
      <c r="Q28" s="166">
        <f>Q27/2+B17</f>
        <v>517.24137931034488</v>
      </c>
      <c r="R28" s="167">
        <f>Q28/$Q$25</f>
        <v>0.5</v>
      </c>
      <c r="S28" s="13"/>
      <c r="T28" s="13"/>
      <c r="U28" s="2"/>
      <c r="V28" s="2"/>
      <c r="W28" s="2"/>
      <c r="Z28" s="4" t="s">
        <v>99</v>
      </c>
      <c r="AA28" s="126">
        <f>ADMIN!A76*ADMIN!E76*$H$24</f>
        <v>0</v>
      </c>
      <c r="AB28" s="143">
        <f>PV(ADMIN!$C$22/12,60,-AA28/60,,1)</f>
        <v>0</v>
      </c>
      <c r="AC28" s="150"/>
      <c r="AD28" s="315"/>
      <c r="AE28" s="243">
        <v>6</v>
      </c>
      <c r="AF28" s="241">
        <v>0</v>
      </c>
      <c r="AG28" s="244">
        <v>0</v>
      </c>
      <c r="AH28" s="241">
        <v>0</v>
      </c>
      <c r="AI28" s="244">
        <v>42257.386922012105</v>
      </c>
      <c r="AJ28" s="150"/>
      <c r="AK28" s="2"/>
    </row>
    <row r="29" spans="1:37" ht="15" customHeight="1" x14ac:dyDescent="0.25">
      <c r="A29" s="164"/>
      <c r="B29" s="164"/>
      <c r="C29" s="164"/>
      <c r="D29" s="164"/>
      <c r="E29" s="164"/>
      <c r="F29" s="218">
        <v>4</v>
      </c>
      <c r="G29" s="202">
        <v>20</v>
      </c>
      <c r="H29" s="167"/>
      <c r="I29" s="167"/>
      <c r="J29" s="3">
        <v>23</v>
      </c>
      <c r="L29" s="207"/>
      <c r="M29" s="164">
        <v>0.2</v>
      </c>
      <c r="N29" s="164"/>
      <c r="P29" s="165" t="s">
        <v>75</v>
      </c>
      <c r="Q29" s="166">
        <f>Q27/2+D17</f>
        <v>517.24137931034488</v>
      </c>
      <c r="R29" s="167">
        <f>Q29/$Q$25</f>
        <v>0.5</v>
      </c>
      <c r="U29" s="2"/>
      <c r="V29" s="2"/>
      <c r="W29" s="2"/>
      <c r="Z29" s="4" t="s">
        <v>100</v>
      </c>
      <c r="AA29" s="126">
        <f>ADMIN!A77*ADMIN!E77*$H$24</f>
        <v>0</v>
      </c>
      <c r="AB29" s="143">
        <f>PV(ADMIN!$C$22/12,60,-AA29/60,,1)</f>
        <v>0</v>
      </c>
      <c r="AC29" s="150"/>
      <c r="AD29" s="315"/>
      <c r="AE29" s="243">
        <v>12</v>
      </c>
      <c r="AF29" s="241">
        <v>0</v>
      </c>
      <c r="AG29" s="244">
        <v>0</v>
      </c>
      <c r="AH29" s="241">
        <v>0</v>
      </c>
      <c r="AI29" s="244">
        <v>22588.381756010978</v>
      </c>
      <c r="AJ29" s="150"/>
      <c r="AK29" s="2"/>
    </row>
    <row r="30" spans="1:37" ht="15" customHeight="1" x14ac:dyDescent="0.25">
      <c r="A30" s="164"/>
      <c r="B30" s="164"/>
      <c r="C30" s="164"/>
      <c r="D30" s="164"/>
      <c r="E30" s="164"/>
      <c r="F30" s="218">
        <v>5</v>
      </c>
      <c r="G30" s="202">
        <v>25</v>
      </c>
      <c r="H30" s="167"/>
      <c r="I30" s="167"/>
      <c r="J30" s="3">
        <v>24</v>
      </c>
      <c r="L30" s="207"/>
      <c r="M30" s="164">
        <v>0.25</v>
      </c>
      <c r="N30" s="164"/>
      <c r="U30" s="2"/>
      <c r="Z30" s="4" t="str">
        <f>VLOOKUP(1,ADMIN!A78:B79,2,FALSE)</f>
        <v>Battery Labor &amp; Installation w/ Solar Package Installation</v>
      </c>
      <c r="AA30" s="126">
        <f>(ADMIN!A78*ADMIN!E78+ADMIN!A79*ADMIN!E79)*H24</f>
        <v>0</v>
      </c>
      <c r="AB30" s="143">
        <f>PV(ADMIN!$C$22/12,60,-AA30/60,,1)</f>
        <v>0</v>
      </c>
      <c r="AC30" s="150"/>
      <c r="AD30" s="315"/>
      <c r="AE30" s="243">
        <v>24</v>
      </c>
      <c r="AF30" s="241">
        <v>0</v>
      </c>
      <c r="AG30" s="244">
        <v>0</v>
      </c>
      <c r="AH30" s="241">
        <v>0</v>
      </c>
      <c r="AI30" s="244">
        <v>12847.309847191651</v>
      </c>
      <c r="AJ30" s="150"/>
      <c r="AK30" s="2"/>
    </row>
    <row r="31" spans="1:37" ht="15" customHeight="1" x14ac:dyDescent="0.25">
      <c r="A31" s="164"/>
      <c r="B31" s="164"/>
      <c r="C31" s="164"/>
      <c r="D31" s="164"/>
      <c r="E31" s="164"/>
      <c r="F31" s="218">
        <v>6</v>
      </c>
      <c r="G31" s="202">
        <v>30</v>
      </c>
      <c r="H31" s="167"/>
      <c r="I31" s="167"/>
      <c r="J31" s="3">
        <v>25</v>
      </c>
      <c r="L31" s="207"/>
      <c r="M31" s="164">
        <v>0.3</v>
      </c>
      <c r="N31" s="164"/>
      <c r="P31" s="1" t="s">
        <v>190</v>
      </c>
      <c r="Q31" s="166">
        <f>Q29/ADMIN!C83/ADMIN!C84</f>
        <v>555.5761324493501</v>
      </c>
      <c r="U31" s="2"/>
      <c r="AC31" s="150"/>
      <c r="AD31" s="315"/>
      <c r="AE31" s="243">
        <v>36</v>
      </c>
      <c r="AF31" s="241">
        <v>0</v>
      </c>
      <c r="AG31" s="244">
        <v>0</v>
      </c>
      <c r="AH31" s="241">
        <v>0</v>
      </c>
      <c r="AI31" s="244">
        <v>9681.6427928349858</v>
      </c>
      <c r="AJ31" s="150"/>
      <c r="AK31" s="2"/>
    </row>
    <row r="32" spans="1:37" ht="15" customHeight="1" x14ac:dyDescent="0.25">
      <c r="A32" s="164"/>
      <c r="B32" s="164"/>
      <c r="C32" s="164"/>
      <c r="D32" s="164"/>
      <c r="E32" s="164"/>
      <c r="F32" s="218">
        <v>7</v>
      </c>
      <c r="G32" s="202">
        <v>35</v>
      </c>
      <c r="H32" s="167"/>
      <c r="I32" s="167"/>
      <c r="J32" s="3">
        <v>26</v>
      </c>
      <c r="L32" s="207"/>
      <c r="M32" s="164">
        <v>0.35</v>
      </c>
      <c r="N32" s="164"/>
      <c r="P32" s="165" t="s">
        <v>191</v>
      </c>
      <c r="Q32" s="220">
        <f>(Q28+Q31)*12/365</f>
        <v>35.270712715387234</v>
      </c>
      <c r="U32" s="2"/>
      <c r="V32" s="330" t="s">
        <v>144</v>
      </c>
      <c r="W32" s="330"/>
      <c r="X32" s="330"/>
      <c r="Y32" s="330"/>
      <c r="Z32" s="330"/>
      <c r="AA32" s="330"/>
      <c r="AB32" s="145"/>
      <c r="AC32" s="150"/>
      <c r="AD32" s="315"/>
      <c r="AE32" s="243">
        <v>48</v>
      </c>
      <c r="AF32" s="241">
        <v>0</v>
      </c>
      <c r="AG32" s="244">
        <v>0</v>
      </c>
      <c r="AH32" s="241">
        <v>0</v>
      </c>
      <c r="AI32" s="244">
        <v>8157.5620524319493</v>
      </c>
      <c r="AJ32" s="150"/>
      <c r="AK32" s="2"/>
    </row>
    <row r="33" spans="1:37" ht="15" customHeight="1" x14ac:dyDescent="0.15">
      <c r="A33" s="164"/>
      <c r="B33" s="164"/>
      <c r="C33" s="164"/>
      <c r="D33" s="164"/>
      <c r="E33" s="164"/>
      <c r="F33" s="218">
        <v>8</v>
      </c>
      <c r="G33" s="202">
        <v>40</v>
      </c>
      <c r="H33" s="167"/>
      <c r="I33" s="167"/>
      <c r="J33" s="3">
        <v>27</v>
      </c>
      <c r="L33" s="207"/>
      <c r="M33" s="164">
        <v>0.4</v>
      </c>
      <c r="N33" s="164"/>
      <c r="P33" s="1" t="s">
        <v>79</v>
      </c>
      <c r="Q33" s="222">
        <f>V7*Q32*1000/ADMIN!C27/ADMIN!C82</f>
        <v>7.7757303164433935</v>
      </c>
      <c r="U33" s="2"/>
      <c r="V33" s="331" t="s">
        <v>115</v>
      </c>
      <c r="W33" s="332"/>
      <c r="X33" s="336" t="s">
        <v>119</v>
      </c>
      <c r="Y33" s="338" t="s">
        <v>116</v>
      </c>
      <c r="Z33" s="335" t="s">
        <v>117</v>
      </c>
      <c r="AA33" s="335" t="s">
        <v>118</v>
      </c>
      <c r="AB33" s="146"/>
      <c r="AC33" s="150"/>
      <c r="AD33" s="316"/>
      <c r="AE33" s="243">
        <v>60</v>
      </c>
      <c r="AF33" s="241">
        <v>0</v>
      </c>
      <c r="AG33" s="244">
        <v>0</v>
      </c>
      <c r="AH33" s="241">
        <v>0</v>
      </c>
      <c r="AI33" s="244">
        <v>7287.7115019270414</v>
      </c>
      <c r="AJ33" s="150"/>
      <c r="AK33" s="2"/>
    </row>
    <row r="34" spans="1:37" ht="15" customHeight="1" x14ac:dyDescent="0.15">
      <c r="A34" s="164"/>
      <c r="B34" s="164"/>
      <c r="C34" s="164"/>
      <c r="D34" s="164"/>
      <c r="E34" s="164"/>
      <c r="F34" s="218">
        <v>9</v>
      </c>
      <c r="G34" s="202">
        <v>45</v>
      </c>
      <c r="J34" s="3">
        <v>28</v>
      </c>
      <c r="L34" s="207"/>
      <c r="M34" s="164">
        <v>0.5</v>
      </c>
      <c r="N34" s="164"/>
      <c r="U34" s="2"/>
      <c r="V34" s="333"/>
      <c r="W34" s="334"/>
      <c r="X34" s="337"/>
      <c r="Y34" s="338"/>
      <c r="Z34" s="335"/>
      <c r="AA34" s="335"/>
      <c r="AB34" s="146"/>
      <c r="AF34" s="2"/>
      <c r="AG34" s="2"/>
      <c r="AH34" s="2"/>
      <c r="AI34" s="2"/>
    </row>
    <row r="35" spans="1:37" ht="15" customHeight="1" x14ac:dyDescent="0.25">
      <c r="A35" s="164"/>
      <c r="B35" s="164"/>
      <c r="C35" s="164"/>
      <c r="D35" s="164"/>
      <c r="E35" s="164"/>
      <c r="F35" s="218">
        <v>10</v>
      </c>
      <c r="G35" s="202">
        <v>50</v>
      </c>
      <c r="J35" s="3">
        <v>29</v>
      </c>
      <c r="L35" s="2"/>
      <c r="M35" s="2"/>
      <c r="N35" s="164"/>
      <c r="V35" s="324"/>
      <c r="W35" s="325"/>
      <c r="X35" s="115"/>
      <c r="Y35" s="168"/>
      <c r="Z35" s="134">
        <f>X35*Y35</f>
        <v>0</v>
      </c>
      <c r="AA35" s="134">
        <f>PMT(ADMIN!$C$22/12,60,-Z35,,1)*60</f>
        <v>0</v>
      </c>
      <c r="AB35" s="147"/>
      <c r="AF35" s="2"/>
      <c r="AG35" s="264" t="s">
        <v>206</v>
      </c>
      <c r="AH35" s="303">
        <f>AH21+AH14</f>
        <v>437262.69011562248</v>
      </c>
      <c r="AI35" s="303"/>
    </row>
    <row r="36" spans="1:37" ht="15" customHeight="1" x14ac:dyDescent="0.25">
      <c r="A36" s="164"/>
      <c r="B36" s="164"/>
      <c r="C36" s="164"/>
      <c r="D36" s="164"/>
      <c r="E36" s="164"/>
      <c r="F36" s="218">
        <v>11</v>
      </c>
      <c r="G36" s="202">
        <v>55</v>
      </c>
      <c r="J36" s="3">
        <v>30</v>
      </c>
      <c r="L36" s="2"/>
      <c r="M36" s="2"/>
      <c r="N36" s="164"/>
      <c r="V36" s="326"/>
      <c r="W36" s="327"/>
      <c r="X36" s="115"/>
      <c r="Y36" s="168"/>
      <c r="Z36" s="134">
        <f t="shared" ref="Z36" si="2">X36*Y36</f>
        <v>0</v>
      </c>
      <c r="AA36" s="134">
        <f>PMT(ADMIN!$C$22/12,60,-Z36,,1)*60</f>
        <v>0</v>
      </c>
      <c r="AB36" s="147"/>
      <c r="AF36" s="2"/>
      <c r="AG36" s="2"/>
      <c r="AH36" s="2"/>
    </row>
    <row r="37" spans="1:37" ht="15" customHeight="1" x14ac:dyDescent="0.25">
      <c r="F37" s="218">
        <v>12</v>
      </c>
      <c r="G37" s="202">
        <v>60</v>
      </c>
      <c r="H37" s="164"/>
      <c r="I37" s="164"/>
      <c r="J37" s="3">
        <v>31</v>
      </c>
      <c r="V37" s="2"/>
      <c r="W37" s="2"/>
      <c r="X37" s="2"/>
      <c r="Y37" s="2"/>
      <c r="Z37" s="2"/>
      <c r="AA37" s="2"/>
      <c r="AB37" s="147"/>
    </row>
    <row r="38" spans="1:37" ht="15" customHeight="1" x14ac:dyDescent="0.25">
      <c r="F38" s="218">
        <v>13</v>
      </c>
      <c r="G38" s="202">
        <v>65</v>
      </c>
      <c r="H38" s="164"/>
      <c r="I38" s="164"/>
      <c r="J38" s="3">
        <v>32</v>
      </c>
      <c r="V38" s="2"/>
      <c r="W38" s="2"/>
      <c r="X38" s="2"/>
      <c r="Y38" s="2"/>
      <c r="Z38" s="2"/>
      <c r="AA38" s="2"/>
      <c r="AB38" s="148"/>
    </row>
    <row r="39" spans="1:37" ht="15" customHeight="1" x14ac:dyDescent="0.25">
      <c r="A39" s="2"/>
      <c r="B39" s="2"/>
      <c r="C39" s="2"/>
      <c r="D39" s="2"/>
      <c r="E39" s="2"/>
      <c r="F39" s="218">
        <v>14</v>
      </c>
      <c r="G39" s="202">
        <v>70</v>
      </c>
      <c r="H39" s="164"/>
      <c r="I39" s="164"/>
      <c r="J39" s="3">
        <v>33</v>
      </c>
      <c r="L39" s="2"/>
      <c r="M39" s="2"/>
      <c r="N39" s="2"/>
      <c r="V39" s="2"/>
      <c r="W39" s="2"/>
      <c r="X39" s="2"/>
      <c r="Y39" s="2"/>
      <c r="Z39" s="2"/>
      <c r="AA39" s="2"/>
      <c r="AB39" s="148"/>
    </row>
    <row r="40" spans="1:37" ht="15" customHeight="1" x14ac:dyDescent="0.25">
      <c r="A40" s="2"/>
      <c r="B40" s="2"/>
      <c r="C40" s="2"/>
      <c r="D40" s="2"/>
      <c r="E40" s="2"/>
      <c r="F40" s="218">
        <v>15</v>
      </c>
      <c r="G40" s="202">
        <v>75</v>
      </c>
      <c r="H40" s="164"/>
      <c r="I40" s="164"/>
      <c r="J40" s="3">
        <v>34</v>
      </c>
      <c r="L40" s="2"/>
      <c r="M40" s="2"/>
      <c r="N40" s="2"/>
      <c r="T40" s="3"/>
      <c r="V40" s="2"/>
      <c r="W40" s="2"/>
      <c r="X40" s="2"/>
      <c r="Y40" s="2"/>
      <c r="Z40" s="2"/>
      <c r="AA40" s="2"/>
      <c r="AB40" s="148"/>
    </row>
    <row r="41" spans="1:37" ht="15" customHeight="1" x14ac:dyDescent="0.25">
      <c r="F41" s="218">
        <v>16</v>
      </c>
      <c r="G41" s="202">
        <v>80</v>
      </c>
      <c r="H41" s="164"/>
      <c r="I41" s="164"/>
      <c r="J41" s="3">
        <v>35</v>
      </c>
      <c r="V41" s="2"/>
      <c r="W41" s="2"/>
      <c r="X41" s="2"/>
      <c r="Y41" s="2"/>
      <c r="Z41" s="2"/>
      <c r="AA41" s="2"/>
      <c r="AB41" s="148"/>
    </row>
    <row r="42" spans="1:37" ht="15" customHeight="1" x14ac:dyDescent="0.25">
      <c r="F42" s="218">
        <v>17</v>
      </c>
      <c r="G42" s="202">
        <v>85</v>
      </c>
      <c r="H42" s="164"/>
      <c r="I42" s="164"/>
      <c r="J42" s="3">
        <v>36</v>
      </c>
      <c r="V42" s="2"/>
      <c r="W42" s="2"/>
      <c r="X42" s="2"/>
      <c r="Y42" s="2"/>
      <c r="Z42" s="2"/>
      <c r="AA42" s="2"/>
      <c r="AB42" s="148"/>
    </row>
    <row r="43" spans="1:37" ht="15" customHeight="1" x14ac:dyDescent="0.25">
      <c r="F43" s="218">
        <v>18</v>
      </c>
      <c r="G43" s="202">
        <v>90</v>
      </c>
      <c r="H43" s="164"/>
      <c r="I43" s="164"/>
      <c r="J43" s="3">
        <v>37</v>
      </c>
      <c r="V43" s="2"/>
      <c r="W43" s="2"/>
      <c r="X43" s="2"/>
      <c r="Y43" s="2"/>
      <c r="Z43" s="2"/>
      <c r="AA43" s="2"/>
      <c r="AB43" s="148"/>
    </row>
    <row r="44" spans="1:37" ht="15" customHeight="1" x14ac:dyDescent="0.25">
      <c r="F44" s="218">
        <v>19</v>
      </c>
      <c r="G44" s="202">
        <v>95</v>
      </c>
      <c r="H44" s="164"/>
      <c r="I44" s="164"/>
      <c r="J44" s="3">
        <v>38</v>
      </c>
      <c r="AB44" s="148"/>
    </row>
    <row r="45" spans="1:37" ht="15" customHeight="1" x14ac:dyDescent="0.25">
      <c r="F45" s="218">
        <v>20</v>
      </c>
      <c r="G45" s="202">
        <v>100</v>
      </c>
      <c r="H45" s="164"/>
      <c r="I45" s="164"/>
      <c r="J45" s="3">
        <v>39</v>
      </c>
    </row>
    <row r="46" spans="1:37" ht="15" customHeight="1" x14ac:dyDescent="0.25">
      <c r="F46" s="218">
        <v>21</v>
      </c>
      <c r="G46" s="202">
        <v>105</v>
      </c>
      <c r="H46" s="164"/>
      <c r="I46" s="164"/>
      <c r="J46" s="3">
        <v>40</v>
      </c>
      <c r="M46" s="3" t="s">
        <v>230</v>
      </c>
    </row>
    <row r="47" spans="1:37" ht="15" customHeight="1" x14ac:dyDescent="0.25">
      <c r="F47" s="218">
        <v>22</v>
      </c>
      <c r="G47" s="202">
        <v>110</v>
      </c>
      <c r="J47" s="3">
        <v>41</v>
      </c>
      <c r="M47" s="271">
        <v>10</v>
      </c>
    </row>
    <row r="48" spans="1:37" ht="15" customHeight="1" x14ac:dyDescent="0.25">
      <c r="F48" s="218">
        <v>23</v>
      </c>
      <c r="G48" s="202">
        <v>115</v>
      </c>
      <c r="J48" s="3">
        <v>42</v>
      </c>
      <c r="M48" s="271">
        <v>15</v>
      </c>
    </row>
    <row r="49" spans="6:35" ht="15" customHeight="1" x14ac:dyDescent="0.25">
      <c r="F49" s="218">
        <v>24</v>
      </c>
      <c r="G49" s="202">
        <v>120</v>
      </c>
      <c r="H49" s="2"/>
      <c r="I49" s="2"/>
      <c r="J49" s="3">
        <v>43</v>
      </c>
      <c r="M49" s="271">
        <v>20</v>
      </c>
      <c r="AD49" s="304" t="s">
        <v>228</v>
      </c>
      <c r="AE49" s="305"/>
      <c r="AF49" s="305"/>
      <c r="AG49" s="305"/>
      <c r="AH49" s="305"/>
      <c r="AI49" s="306"/>
    </row>
    <row r="50" spans="6:35" ht="15" customHeight="1" x14ac:dyDescent="0.25">
      <c r="F50" s="218">
        <v>25</v>
      </c>
      <c r="G50" s="202">
        <v>125</v>
      </c>
      <c r="H50" s="2"/>
      <c r="I50" s="2"/>
      <c r="J50" s="3">
        <v>44</v>
      </c>
      <c r="M50" s="271">
        <v>25</v>
      </c>
      <c r="AD50" s="307"/>
      <c r="AE50" s="308"/>
      <c r="AF50" s="308"/>
      <c r="AG50" s="308"/>
      <c r="AH50" s="308"/>
      <c r="AI50" s="309"/>
    </row>
    <row r="51" spans="6:35" ht="15" customHeight="1" x14ac:dyDescent="0.25">
      <c r="F51" s="218">
        <v>26</v>
      </c>
      <c r="G51" s="202">
        <v>130</v>
      </c>
      <c r="J51" s="3">
        <v>45</v>
      </c>
      <c r="M51" s="271">
        <v>30</v>
      </c>
    </row>
    <row r="52" spans="6:35" ht="15" customHeight="1" x14ac:dyDescent="0.25">
      <c r="F52" s="218">
        <v>27</v>
      </c>
      <c r="G52" s="202">
        <v>135</v>
      </c>
      <c r="J52" s="3">
        <v>46</v>
      </c>
      <c r="M52" s="271"/>
      <c r="AD52" s="300" t="s">
        <v>238</v>
      </c>
      <c r="AE52" s="300"/>
      <c r="AF52" s="300"/>
      <c r="AG52" s="300"/>
      <c r="AH52" s="295" t="str">
        <f>SCHEDULE!AB3</f>
        <v>6-Yrs. &amp; 1-Month</v>
      </c>
      <c r="AI52" s="295"/>
    </row>
    <row r="53" spans="6:35" ht="15" customHeight="1" x14ac:dyDescent="0.25">
      <c r="F53" s="218">
        <v>28</v>
      </c>
      <c r="G53" s="202">
        <v>140</v>
      </c>
      <c r="J53" s="3">
        <v>47</v>
      </c>
    </row>
    <row r="54" spans="6:35" ht="15" customHeight="1" x14ac:dyDescent="0.25">
      <c r="F54" s="218">
        <v>29</v>
      </c>
      <c r="G54" s="202">
        <v>145</v>
      </c>
      <c r="J54" s="3">
        <v>48</v>
      </c>
      <c r="AD54" s="300" t="s">
        <v>229</v>
      </c>
      <c r="AE54" s="300"/>
      <c r="AF54" s="301"/>
      <c r="AG54" s="272">
        <v>25</v>
      </c>
      <c r="AH54" s="296">
        <f ca="1">SCHEDULE!AC6</f>
        <v>0.27685077450304063</v>
      </c>
      <c r="AI54" s="297"/>
    </row>
    <row r="55" spans="6:35" ht="15" customHeight="1" x14ac:dyDescent="0.25">
      <c r="F55" s="218">
        <v>30</v>
      </c>
      <c r="G55" s="202">
        <v>150</v>
      </c>
      <c r="J55" s="3">
        <v>49</v>
      </c>
    </row>
    <row r="56" spans="6:35" ht="15" customHeight="1" x14ac:dyDescent="0.25">
      <c r="F56" s="218">
        <v>31</v>
      </c>
      <c r="G56" s="202">
        <v>155</v>
      </c>
      <c r="J56" s="3">
        <v>50</v>
      </c>
      <c r="AD56" s="300" t="str">
        <f>"Levelized Cost of Energy (LCOE) over "&amp;AG54&amp;" Yrs."</f>
        <v>Levelized Cost of Energy (LCOE) over 25 Yrs.</v>
      </c>
      <c r="AE56" s="300"/>
      <c r="AF56" s="300"/>
      <c r="AG56" s="300"/>
      <c r="AH56" s="298">
        <f ca="1">SCHEDULE!Z45</f>
        <v>3.362060931957493</v>
      </c>
      <c r="AI56" s="298"/>
    </row>
    <row r="57" spans="6:35" ht="15" customHeight="1" x14ac:dyDescent="0.25">
      <c r="F57" s="218">
        <v>32</v>
      </c>
      <c r="G57" s="202">
        <v>160</v>
      </c>
      <c r="J57" s="3">
        <v>51</v>
      </c>
    </row>
    <row r="58" spans="6:35" ht="15" customHeight="1" x14ac:dyDescent="0.25">
      <c r="F58" s="218">
        <v>33</v>
      </c>
      <c r="G58" s="202">
        <v>165</v>
      </c>
      <c r="J58" s="3">
        <v>52</v>
      </c>
      <c r="AD58" s="300" t="str">
        <f>"Distribution Utility (DU) Savings over "&amp;AG54&amp;" Yrs."</f>
        <v>Distribution Utility (DU) Savings over 25 Yrs.</v>
      </c>
      <c r="AE58" s="300"/>
      <c r="AF58" s="300"/>
      <c r="AG58" s="300"/>
      <c r="AH58" s="299">
        <f ca="1">SCHEDULE!Z47</f>
        <v>1724295.6432295481</v>
      </c>
      <c r="AI58" s="299"/>
    </row>
    <row r="59" spans="6:35" ht="15" customHeight="1" x14ac:dyDescent="0.25">
      <c r="F59" s="218">
        <v>34</v>
      </c>
      <c r="G59" s="202">
        <v>170</v>
      </c>
      <c r="J59" s="3">
        <v>53</v>
      </c>
    </row>
    <row r="60" spans="6:35" ht="15" customHeight="1" x14ac:dyDescent="0.25">
      <c r="F60" s="218">
        <v>35</v>
      </c>
      <c r="G60" s="202">
        <v>175</v>
      </c>
      <c r="J60" s="3">
        <v>54</v>
      </c>
      <c r="O60" s="320" t="s">
        <v>177</v>
      </c>
      <c r="P60" s="320"/>
      <c r="Q60" s="320"/>
      <c r="R60" s="320"/>
      <c r="S60" s="320"/>
      <c r="T60" s="320"/>
      <c r="U60" s="320"/>
      <c r="V60" s="320"/>
      <c r="W60" s="320"/>
      <c r="X60" s="320"/>
      <c r="Y60" s="320"/>
      <c r="Z60" s="320"/>
      <c r="AA60" s="320"/>
      <c r="AD60" s="302" t="s">
        <v>243</v>
      </c>
      <c r="AE60" s="302"/>
      <c r="AF60" s="302"/>
      <c r="AG60" s="302"/>
      <c r="AH60" s="302"/>
      <c r="AI60" s="302"/>
    </row>
    <row r="61" spans="6:35" ht="15" customHeight="1" x14ac:dyDescent="0.25">
      <c r="F61" s="218">
        <v>36</v>
      </c>
      <c r="G61" s="202">
        <v>180</v>
      </c>
      <c r="J61" s="3">
        <v>55</v>
      </c>
      <c r="O61" s="320"/>
      <c r="P61" s="320"/>
      <c r="Q61" s="320"/>
      <c r="R61" s="320"/>
      <c r="S61" s="320"/>
      <c r="T61" s="320"/>
      <c r="U61" s="320"/>
      <c r="V61" s="320"/>
      <c r="W61" s="320"/>
      <c r="X61" s="320"/>
      <c r="Y61" s="320"/>
      <c r="Z61" s="320"/>
      <c r="AA61" s="320"/>
      <c r="AD61" s="302"/>
      <c r="AE61" s="302"/>
      <c r="AF61" s="302"/>
      <c r="AG61" s="302"/>
      <c r="AH61" s="302"/>
      <c r="AI61" s="302"/>
    </row>
    <row r="62" spans="6:35" ht="15" customHeight="1" x14ac:dyDescent="0.25">
      <c r="F62" s="218">
        <v>37</v>
      </c>
      <c r="G62" s="202">
        <v>185</v>
      </c>
      <c r="J62" s="3">
        <v>56</v>
      </c>
      <c r="O62" s="320"/>
      <c r="P62" s="320"/>
      <c r="Q62" s="320"/>
      <c r="R62" s="320"/>
      <c r="S62" s="320"/>
      <c r="T62" s="320"/>
      <c r="U62" s="320"/>
      <c r="V62" s="320"/>
      <c r="W62" s="320"/>
      <c r="X62" s="320"/>
      <c r="Y62" s="320"/>
      <c r="Z62" s="320"/>
      <c r="AA62" s="320"/>
      <c r="AD62" s="302"/>
      <c r="AE62" s="302"/>
      <c r="AF62" s="302"/>
      <c r="AG62" s="302"/>
      <c r="AH62" s="302"/>
      <c r="AI62" s="302"/>
    </row>
    <row r="63" spans="6:35" ht="15" customHeight="1" x14ac:dyDescent="0.25">
      <c r="F63" s="218">
        <v>38</v>
      </c>
      <c r="G63" s="202">
        <v>190</v>
      </c>
      <c r="J63" s="3">
        <v>57</v>
      </c>
      <c r="AD63" s="302"/>
      <c r="AE63" s="302"/>
      <c r="AF63" s="302"/>
      <c r="AG63" s="302"/>
      <c r="AH63" s="302"/>
      <c r="AI63" s="302"/>
    </row>
    <row r="64" spans="6:35" ht="15" customHeight="1" x14ac:dyDescent="0.25">
      <c r="F64" s="218">
        <v>39</v>
      </c>
      <c r="G64" s="202">
        <v>195</v>
      </c>
      <c r="J64" s="3">
        <v>58</v>
      </c>
      <c r="O64" s="339" t="s">
        <v>188</v>
      </c>
      <c r="P64" s="339"/>
      <c r="Q64" s="339"/>
      <c r="R64" s="339"/>
      <c r="S64" s="339"/>
      <c r="T64" s="339"/>
      <c r="U64" s="339"/>
      <c r="V64" s="339"/>
      <c r="W64" s="339"/>
      <c r="X64" s="339"/>
      <c r="Y64" s="339"/>
      <c r="Z64" s="339"/>
      <c r="AA64" s="339"/>
      <c r="AD64" s="302"/>
      <c r="AE64" s="302"/>
      <c r="AF64" s="302"/>
      <c r="AG64" s="302"/>
      <c r="AH64" s="302"/>
      <c r="AI64" s="302"/>
    </row>
    <row r="65" spans="6:35" ht="15" customHeight="1" x14ac:dyDescent="0.25">
      <c r="F65" s="218">
        <v>40</v>
      </c>
      <c r="G65" s="202">
        <v>200</v>
      </c>
      <c r="J65" s="3">
        <v>59</v>
      </c>
      <c r="O65" s="339"/>
      <c r="P65" s="339"/>
      <c r="Q65" s="339"/>
      <c r="R65" s="339"/>
      <c r="S65" s="339"/>
      <c r="T65" s="339"/>
      <c r="U65" s="339"/>
      <c r="V65" s="339"/>
      <c r="W65" s="339"/>
      <c r="X65" s="339"/>
      <c r="Y65" s="339"/>
      <c r="Z65" s="339"/>
      <c r="AA65" s="339"/>
      <c r="AD65" s="302"/>
      <c r="AE65" s="302"/>
      <c r="AF65" s="302"/>
      <c r="AG65" s="302"/>
      <c r="AH65" s="302"/>
      <c r="AI65" s="302"/>
    </row>
    <row r="66" spans="6:35" ht="15" customHeight="1" x14ac:dyDescent="0.25">
      <c r="F66" s="218">
        <v>41</v>
      </c>
      <c r="G66" s="202">
        <v>205</v>
      </c>
      <c r="J66" s="3">
        <v>60</v>
      </c>
      <c r="O66" s="339"/>
      <c r="P66" s="339"/>
      <c r="Q66" s="339"/>
      <c r="R66" s="339"/>
      <c r="S66" s="339"/>
      <c r="T66" s="339"/>
      <c r="U66" s="339"/>
      <c r="V66" s="339"/>
      <c r="W66" s="339"/>
      <c r="X66" s="339"/>
      <c r="Y66" s="339"/>
      <c r="Z66" s="339"/>
      <c r="AA66" s="339"/>
      <c r="AD66" s="302"/>
      <c r="AE66" s="302"/>
      <c r="AF66" s="302"/>
      <c r="AG66" s="302"/>
      <c r="AH66" s="302"/>
      <c r="AI66" s="302"/>
    </row>
    <row r="67" spans="6:35" ht="15" customHeight="1" x14ac:dyDescent="0.25">
      <c r="F67" s="218">
        <v>42</v>
      </c>
      <c r="G67" s="202">
        <v>210</v>
      </c>
      <c r="O67" s="339"/>
      <c r="P67" s="339"/>
      <c r="Q67" s="339"/>
      <c r="R67" s="339"/>
      <c r="S67" s="339"/>
      <c r="T67" s="339"/>
      <c r="U67" s="339"/>
      <c r="V67" s="339"/>
      <c r="W67" s="339"/>
      <c r="X67" s="339"/>
      <c r="Y67" s="339"/>
      <c r="Z67" s="339"/>
      <c r="AA67" s="339"/>
      <c r="AD67" s="302"/>
      <c r="AE67" s="302"/>
      <c r="AF67" s="302"/>
      <c r="AG67" s="302"/>
      <c r="AH67" s="302"/>
      <c r="AI67" s="302"/>
    </row>
    <row r="68" spans="6:35" ht="15" customHeight="1" x14ac:dyDescent="0.25">
      <c r="F68" s="218">
        <v>43</v>
      </c>
      <c r="O68" s="339"/>
      <c r="P68" s="339"/>
      <c r="Q68" s="339"/>
      <c r="R68" s="339"/>
      <c r="S68" s="339"/>
      <c r="T68" s="339"/>
      <c r="U68" s="339"/>
      <c r="V68" s="339"/>
      <c r="W68" s="339"/>
      <c r="X68" s="339"/>
      <c r="Y68" s="339"/>
      <c r="Z68" s="339"/>
      <c r="AA68" s="339"/>
      <c r="AD68" s="302"/>
      <c r="AE68" s="302"/>
      <c r="AF68" s="302"/>
      <c r="AG68" s="302"/>
      <c r="AH68" s="302"/>
      <c r="AI68" s="302"/>
    </row>
    <row r="69" spans="6:35" ht="15" customHeight="1" x14ac:dyDescent="0.25">
      <c r="F69" s="218">
        <v>44</v>
      </c>
      <c r="O69" s="339"/>
      <c r="P69" s="339"/>
      <c r="Q69" s="339"/>
      <c r="R69" s="339"/>
      <c r="S69" s="339"/>
      <c r="T69" s="339"/>
      <c r="U69" s="339"/>
      <c r="V69" s="339"/>
      <c r="W69" s="339"/>
      <c r="X69" s="339"/>
      <c r="Y69" s="339"/>
      <c r="Z69" s="339"/>
      <c r="AA69" s="339"/>
      <c r="AD69" s="302"/>
      <c r="AE69" s="302"/>
      <c r="AF69" s="302"/>
      <c r="AG69" s="302"/>
      <c r="AH69" s="302"/>
      <c r="AI69" s="302"/>
    </row>
    <row r="70" spans="6:35" ht="15" customHeight="1" x14ac:dyDescent="0.25">
      <c r="F70" s="218">
        <v>45</v>
      </c>
      <c r="O70" s="339"/>
      <c r="P70" s="339"/>
      <c r="Q70" s="339"/>
      <c r="R70" s="339"/>
      <c r="S70" s="339"/>
      <c r="T70" s="339"/>
      <c r="U70" s="339"/>
      <c r="V70" s="339"/>
      <c r="W70" s="339"/>
      <c r="X70" s="339"/>
      <c r="Y70" s="339"/>
      <c r="Z70" s="339"/>
      <c r="AA70" s="339"/>
      <c r="AD70" s="302"/>
      <c r="AE70" s="302"/>
      <c r="AF70" s="302"/>
      <c r="AG70" s="302"/>
      <c r="AH70" s="302"/>
      <c r="AI70" s="302"/>
    </row>
    <row r="71" spans="6:35" ht="15" customHeight="1" x14ac:dyDescent="0.25">
      <c r="F71" s="218">
        <v>46</v>
      </c>
      <c r="O71" s="339"/>
      <c r="P71" s="339"/>
      <c r="Q71" s="339"/>
      <c r="R71" s="339"/>
      <c r="S71" s="339"/>
      <c r="T71" s="339"/>
      <c r="U71" s="339"/>
      <c r="V71" s="339"/>
      <c r="W71" s="339"/>
      <c r="X71" s="339"/>
      <c r="Y71" s="339"/>
      <c r="Z71" s="339"/>
      <c r="AA71" s="339"/>
      <c r="AD71" s="302"/>
      <c r="AE71" s="302"/>
      <c r="AF71" s="302"/>
      <c r="AG71" s="302"/>
      <c r="AH71" s="302"/>
      <c r="AI71" s="302"/>
    </row>
    <row r="72" spans="6:35" ht="15" customHeight="1" x14ac:dyDescent="0.25">
      <c r="F72" s="218">
        <v>47</v>
      </c>
      <c r="O72" s="339"/>
      <c r="P72" s="339"/>
      <c r="Q72" s="339"/>
      <c r="R72" s="339"/>
      <c r="S72" s="339"/>
      <c r="T72" s="339"/>
      <c r="U72" s="339"/>
      <c r="V72" s="339"/>
      <c r="W72" s="339"/>
      <c r="X72" s="339"/>
      <c r="Y72" s="339"/>
      <c r="Z72" s="339"/>
      <c r="AA72" s="339"/>
      <c r="AD72" s="302"/>
      <c r="AE72" s="302"/>
      <c r="AF72" s="302"/>
      <c r="AG72" s="302"/>
      <c r="AH72" s="302"/>
      <c r="AI72" s="302"/>
    </row>
    <row r="73" spans="6:35" ht="15" customHeight="1" x14ac:dyDescent="0.25">
      <c r="F73" s="218">
        <v>48</v>
      </c>
      <c r="O73" s="339"/>
      <c r="P73" s="339"/>
      <c r="Q73" s="339"/>
      <c r="R73" s="339"/>
      <c r="S73" s="339"/>
      <c r="T73" s="339"/>
      <c r="U73" s="339"/>
      <c r="V73" s="339"/>
      <c r="W73" s="339"/>
      <c r="X73" s="339"/>
      <c r="Y73" s="339"/>
      <c r="Z73" s="339"/>
      <c r="AA73" s="339"/>
      <c r="AD73" s="302"/>
      <c r="AE73" s="302"/>
      <c r="AF73" s="302"/>
      <c r="AG73" s="302"/>
      <c r="AH73" s="302"/>
      <c r="AI73" s="302"/>
    </row>
    <row r="74" spans="6:35" ht="15" customHeight="1" x14ac:dyDescent="0.25">
      <c r="F74" s="218">
        <v>49</v>
      </c>
      <c r="O74" s="339"/>
      <c r="P74" s="339"/>
      <c r="Q74" s="339"/>
      <c r="R74" s="339"/>
      <c r="S74" s="339"/>
      <c r="T74" s="339"/>
      <c r="U74" s="339"/>
      <c r="V74" s="339"/>
      <c r="W74" s="339"/>
      <c r="X74" s="339"/>
      <c r="Y74" s="339"/>
      <c r="Z74" s="339"/>
      <c r="AA74" s="339"/>
      <c r="AD74" s="302"/>
      <c r="AE74" s="302"/>
      <c r="AF74" s="302"/>
      <c r="AG74" s="302"/>
      <c r="AH74" s="302"/>
      <c r="AI74" s="302"/>
    </row>
    <row r="75" spans="6:35" ht="15" customHeight="1" x14ac:dyDescent="0.25">
      <c r="F75" s="218">
        <v>50</v>
      </c>
      <c r="O75" s="1" t="s">
        <v>245</v>
      </c>
      <c r="P75" s="293">
        <f ca="1">TODAY()</f>
        <v>46124</v>
      </c>
      <c r="AD75" s="294" t="str">
        <f>"CALL your Solviva Agent TODAY: "&amp;AGENT!C4</f>
        <v>CALL your Solviva Agent TODAY: Jan Casino</v>
      </c>
      <c r="AE75" s="294"/>
      <c r="AF75" s="294"/>
      <c r="AG75" s="294"/>
      <c r="AH75" s="294"/>
      <c r="AI75" s="294"/>
    </row>
    <row r="76" spans="6:35" ht="15" customHeight="1" x14ac:dyDescent="0.25">
      <c r="F76" s="218">
        <v>51</v>
      </c>
      <c r="O76" s="1" t="s">
        <v>246</v>
      </c>
      <c r="P76" s="293">
        <v>46172</v>
      </c>
      <c r="AD76" s="294" t="str">
        <f>AGENT!C6&amp;" / "&amp;AGENT!C5</f>
        <v>+63-917-867-5309 / Jan.Casino@SolvivaEnergy.com</v>
      </c>
      <c r="AE76" s="294"/>
      <c r="AF76" s="294"/>
      <c r="AG76" s="294"/>
      <c r="AH76" s="294"/>
      <c r="AI76" s="294"/>
    </row>
    <row r="77" spans="6:35" ht="15" customHeight="1" x14ac:dyDescent="0.25">
      <c r="F77" s="218">
        <v>52</v>
      </c>
    </row>
    <row r="78" spans="6:35" ht="15" customHeight="1" x14ac:dyDescent="0.25">
      <c r="F78" s="218">
        <v>53</v>
      </c>
    </row>
    <row r="79" spans="6:35" ht="15" customHeight="1" x14ac:dyDescent="0.25">
      <c r="F79" s="218">
        <v>54</v>
      </c>
    </row>
    <row r="80" spans="6:35" ht="15" customHeight="1" x14ac:dyDescent="0.25">
      <c r="F80" s="218">
        <v>55</v>
      </c>
    </row>
    <row r="81" spans="6:6" ht="15" customHeight="1" x14ac:dyDescent="0.25">
      <c r="F81" s="218">
        <v>56</v>
      </c>
    </row>
    <row r="82" spans="6:6" ht="15" customHeight="1" x14ac:dyDescent="0.25">
      <c r="F82" s="218">
        <v>57</v>
      </c>
    </row>
    <row r="83" spans="6:6" ht="15" customHeight="1" x14ac:dyDescent="0.25">
      <c r="F83" s="218">
        <v>58</v>
      </c>
    </row>
    <row r="84" spans="6:6" ht="15" customHeight="1" x14ac:dyDescent="0.25">
      <c r="F84" s="218">
        <v>59</v>
      </c>
    </row>
    <row r="85" spans="6:6" ht="15" customHeight="1" x14ac:dyDescent="0.25">
      <c r="F85" s="218">
        <v>60</v>
      </c>
    </row>
    <row r="86" spans="6:6" ht="15" customHeight="1" x14ac:dyDescent="0.25">
      <c r="F86" s="218">
        <v>61</v>
      </c>
    </row>
    <row r="87" spans="6:6" ht="15" customHeight="1" x14ac:dyDescent="0.25">
      <c r="F87" s="218">
        <v>62</v>
      </c>
    </row>
    <row r="88" spans="6:6" ht="15" customHeight="1" x14ac:dyDescent="0.25">
      <c r="F88" s="218">
        <v>63</v>
      </c>
    </row>
    <row r="89" spans="6:6" ht="15" customHeight="1" x14ac:dyDescent="0.25">
      <c r="F89" s="218">
        <v>64</v>
      </c>
    </row>
    <row r="90" spans="6:6" ht="15" customHeight="1" x14ac:dyDescent="0.25">
      <c r="F90" s="218">
        <v>65</v>
      </c>
    </row>
    <row r="91" spans="6:6" ht="15" customHeight="1" x14ac:dyDescent="0.25">
      <c r="F91" s="218">
        <v>66</v>
      </c>
    </row>
    <row r="92" spans="6:6" ht="15" customHeight="1" x14ac:dyDescent="0.25">
      <c r="F92" s="218">
        <v>67</v>
      </c>
    </row>
    <row r="93" spans="6:6" ht="15" customHeight="1" x14ac:dyDescent="0.25">
      <c r="F93" s="218">
        <v>68</v>
      </c>
    </row>
    <row r="94" spans="6:6" ht="15" customHeight="1" x14ac:dyDescent="0.25">
      <c r="F94" s="218">
        <v>69</v>
      </c>
    </row>
    <row r="95" spans="6:6" ht="15" customHeight="1" x14ac:dyDescent="0.25">
      <c r="F95" s="218">
        <v>70</v>
      </c>
    </row>
    <row r="96" spans="6:6" ht="15" customHeight="1" x14ac:dyDescent="0.25">
      <c r="F96" s="218">
        <v>71</v>
      </c>
    </row>
    <row r="97" spans="6:6" ht="15" customHeight="1" x14ac:dyDescent="0.25">
      <c r="F97" s="218">
        <v>72</v>
      </c>
    </row>
    <row r="98" spans="6:6" ht="15" customHeight="1" x14ac:dyDescent="0.25">
      <c r="F98" s="218">
        <v>73</v>
      </c>
    </row>
    <row r="99" spans="6:6" ht="15" customHeight="1" x14ac:dyDescent="0.25">
      <c r="F99" s="218">
        <v>74</v>
      </c>
    </row>
    <row r="100" spans="6:6" ht="15" customHeight="1" x14ac:dyDescent="0.25">
      <c r="F100" s="218">
        <v>75</v>
      </c>
    </row>
    <row r="101" spans="6:6" ht="15" customHeight="1" x14ac:dyDescent="0.25">
      <c r="F101" s="218">
        <v>76</v>
      </c>
    </row>
    <row r="102" spans="6:6" ht="15" customHeight="1" x14ac:dyDescent="0.25">
      <c r="F102" s="218">
        <v>77</v>
      </c>
    </row>
    <row r="103" spans="6:6" ht="15" customHeight="1" x14ac:dyDescent="0.25">
      <c r="F103" s="218">
        <v>78</v>
      </c>
    </row>
    <row r="104" spans="6:6" ht="15" customHeight="1" x14ac:dyDescent="0.25">
      <c r="F104" s="218">
        <v>79</v>
      </c>
    </row>
    <row r="105" spans="6:6" ht="15" customHeight="1" x14ac:dyDescent="0.25">
      <c r="F105" s="218">
        <v>80</v>
      </c>
    </row>
    <row r="106" spans="6:6" ht="15" customHeight="1" x14ac:dyDescent="0.25">
      <c r="F106" s="218">
        <v>81</v>
      </c>
    </row>
    <row r="107" spans="6:6" ht="15" customHeight="1" x14ac:dyDescent="0.25">
      <c r="F107" s="218">
        <v>82</v>
      </c>
    </row>
    <row r="108" spans="6:6" ht="15" customHeight="1" x14ac:dyDescent="0.25">
      <c r="F108" s="218">
        <v>83</v>
      </c>
    </row>
    <row r="109" spans="6:6" ht="15" customHeight="1" x14ac:dyDescent="0.25">
      <c r="F109" s="218">
        <v>84</v>
      </c>
    </row>
    <row r="110" spans="6:6" ht="15" customHeight="1" x14ac:dyDescent="0.25">
      <c r="F110" s="218">
        <v>85</v>
      </c>
    </row>
    <row r="111" spans="6:6" ht="15" customHeight="1" x14ac:dyDescent="0.25">
      <c r="F111" s="218">
        <v>86</v>
      </c>
    </row>
    <row r="112" spans="6:6" ht="15" customHeight="1" x14ac:dyDescent="0.25">
      <c r="F112" s="218">
        <v>87</v>
      </c>
    </row>
    <row r="113" spans="6:6" ht="15" customHeight="1" x14ac:dyDescent="0.25">
      <c r="F113" s="218">
        <v>88</v>
      </c>
    </row>
    <row r="114" spans="6:6" ht="15" customHeight="1" x14ac:dyDescent="0.25">
      <c r="F114" s="218">
        <v>89</v>
      </c>
    </row>
    <row r="115" spans="6:6" ht="15" customHeight="1" x14ac:dyDescent="0.25">
      <c r="F115" s="218">
        <v>90</v>
      </c>
    </row>
    <row r="116" spans="6:6" ht="15" customHeight="1" x14ac:dyDescent="0.25">
      <c r="F116" s="218">
        <v>91</v>
      </c>
    </row>
    <row r="117" spans="6:6" ht="15" customHeight="1" x14ac:dyDescent="0.25">
      <c r="F117" s="218">
        <v>92</v>
      </c>
    </row>
    <row r="118" spans="6:6" ht="15" customHeight="1" x14ac:dyDescent="0.25">
      <c r="F118" s="218">
        <v>93</v>
      </c>
    </row>
    <row r="119" spans="6:6" ht="15" customHeight="1" x14ac:dyDescent="0.25">
      <c r="F119" s="218">
        <v>94</v>
      </c>
    </row>
    <row r="120" spans="6:6" ht="15" customHeight="1" x14ac:dyDescent="0.25">
      <c r="F120" s="218">
        <v>95</v>
      </c>
    </row>
    <row r="121" spans="6:6" ht="15" customHeight="1" x14ac:dyDescent="0.25">
      <c r="F121" s="218">
        <v>96</v>
      </c>
    </row>
    <row r="122" spans="6:6" ht="15" customHeight="1" x14ac:dyDescent="0.25">
      <c r="F122" s="218">
        <v>97</v>
      </c>
    </row>
    <row r="123" spans="6:6" ht="15" customHeight="1" x14ac:dyDescent="0.25">
      <c r="F123" s="218">
        <v>98</v>
      </c>
    </row>
    <row r="124" spans="6:6" ht="15" customHeight="1" x14ac:dyDescent="0.25">
      <c r="F124" s="218">
        <v>99</v>
      </c>
    </row>
    <row r="125" spans="6:6" ht="15" customHeight="1" x14ac:dyDescent="0.25">
      <c r="F125" s="218">
        <v>100</v>
      </c>
    </row>
  </sheetData>
  <sheetProtection selectLockedCells="1"/>
  <mergeCells count="77">
    <mergeCell ref="O2:T3"/>
    <mergeCell ref="V2:AA3"/>
    <mergeCell ref="V5:Z5"/>
    <mergeCell ref="AA4:AA5"/>
    <mergeCell ref="O5:T5"/>
    <mergeCell ref="P6:R6"/>
    <mergeCell ref="P7:R7"/>
    <mergeCell ref="AF24:AG24"/>
    <mergeCell ref="AF25:AG25"/>
    <mergeCell ref="Y19:Z19"/>
    <mergeCell ref="O18:P18"/>
    <mergeCell ref="O19:P19"/>
    <mergeCell ref="O10:S10"/>
    <mergeCell ref="O12:S12"/>
    <mergeCell ref="AD16:AH16"/>
    <mergeCell ref="AH14:AI14"/>
    <mergeCell ref="AG6:AH6"/>
    <mergeCell ref="AD20:AI20"/>
    <mergeCell ref="V25:X25"/>
    <mergeCell ref="Y25:Z25"/>
    <mergeCell ref="AH21:AI21"/>
    <mergeCell ref="AD2:AI3"/>
    <mergeCell ref="AD7:AG7"/>
    <mergeCell ref="AD11:AG11"/>
    <mergeCell ref="AB2:AB5"/>
    <mergeCell ref="W7:X7"/>
    <mergeCell ref="V6:X6"/>
    <mergeCell ref="O64:AA74"/>
    <mergeCell ref="W21:X21"/>
    <mergeCell ref="P8:R8"/>
    <mergeCell ref="O20:P20"/>
    <mergeCell ref="O21:P21"/>
    <mergeCell ref="O22:P22"/>
    <mergeCell ref="O23:T23"/>
    <mergeCell ref="W19:X19"/>
    <mergeCell ref="W20:X20"/>
    <mergeCell ref="V13:AA13"/>
    <mergeCell ref="V18:AA18"/>
    <mergeCell ref="Y21:Z21"/>
    <mergeCell ref="Y20:Z20"/>
    <mergeCell ref="V22:AA22"/>
    <mergeCell ref="O14:T14"/>
    <mergeCell ref="O15:P15"/>
    <mergeCell ref="O60:AA62"/>
    <mergeCell ref="A8:A9"/>
    <mergeCell ref="B8:B9"/>
    <mergeCell ref="C8:C9"/>
    <mergeCell ref="D8:D9"/>
    <mergeCell ref="O16:P16"/>
    <mergeCell ref="O17:P17"/>
    <mergeCell ref="V35:W35"/>
    <mergeCell ref="V36:W36"/>
    <mergeCell ref="V26:Y26"/>
    <mergeCell ref="V32:AA32"/>
    <mergeCell ref="V33:W34"/>
    <mergeCell ref="Z33:Z34"/>
    <mergeCell ref="AA33:AA34"/>
    <mergeCell ref="X33:X34"/>
    <mergeCell ref="Y33:Y34"/>
    <mergeCell ref="AH35:AI35"/>
    <mergeCell ref="AD49:AI50"/>
    <mergeCell ref="AD24:AE24"/>
    <mergeCell ref="AD25:AE25"/>
    <mergeCell ref="AD27:AD33"/>
    <mergeCell ref="AH24:AI24"/>
    <mergeCell ref="AH25:AI25"/>
    <mergeCell ref="AD75:AI75"/>
    <mergeCell ref="AD76:AI76"/>
    <mergeCell ref="AH52:AI52"/>
    <mergeCell ref="AH54:AI54"/>
    <mergeCell ref="AH56:AI56"/>
    <mergeCell ref="AH58:AI58"/>
    <mergeCell ref="AD54:AF54"/>
    <mergeCell ref="AD56:AG56"/>
    <mergeCell ref="AD58:AG58"/>
    <mergeCell ref="AD52:AG52"/>
    <mergeCell ref="AD60:AI74"/>
  </mergeCells>
  <phoneticPr fontId="71" type="noConversion"/>
  <conditionalFormatting sqref="Y15:AA16">
    <cfRule type="expression" dxfId="31" priority="40">
      <formula>$AA$6&gt;0</formula>
    </cfRule>
  </conditionalFormatting>
  <conditionalFormatting sqref="Z9:Z10">
    <cfRule type="cellIs" dxfId="30" priority="43" operator="equal">
      <formula>1</formula>
    </cfRule>
    <cfRule type="cellIs" dxfId="29" priority="44" operator="equal">
      <formula>0</formula>
    </cfRule>
  </conditionalFormatting>
  <conditionalFormatting sqref="Z23:AA23">
    <cfRule type="expression" dxfId="28" priority="39">
      <formula>$AA$6&gt;0</formula>
    </cfRule>
  </conditionalFormatting>
  <conditionalFormatting sqref="AD20:AE20">
    <cfRule type="expression" dxfId="27" priority="63">
      <formula>$M$21=TRUE</formula>
    </cfRule>
  </conditionalFormatting>
  <conditionalFormatting sqref="AH13">
    <cfRule type="expression" dxfId="26" priority="49">
      <formula>$AI$13=0</formula>
    </cfRule>
  </conditionalFormatting>
  <conditionalFormatting sqref="AH19">
    <cfRule type="expression" dxfId="25" priority="48">
      <formula>$AI$19=0</formula>
    </cfRule>
  </conditionalFormatting>
  <conditionalFormatting sqref="AH8:AI8">
    <cfRule type="expression" dxfId="24" priority="36">
      <formula>$AI$8=0</formula>
    </cfRule>
  </conditionalFormatting>
  <conditionalFormatting sqref="AH12:AI12">
    <cfRule type="expression" dxfId="23" priority="35">
      <formula>$AI$12=0</formula>
    </cfRule>
  </conditionalFormatting>
  <conditionalFormatting sqref="AH19:AI19 AG21:AH21 AI22 AG22">
    <cfRule type="expression" dxfId="22" priority="61">
      <formula>$M$21=TRUE</formula>
    </cfRule>
  </conditionalFormatting>
  <conditionalFormatting sqref="AH7">
    <cfRule type="cellIs" dxfId="21" priority="50" operator="equal">
      <formula>1</formula>
    </cfRule>
  </conditionalFormatting>
  <conditionalFormatting sqref="Z26">
    <cfRule type="cellIs" dxfId="20" priority="18" operator="equal">
      <formula>$Y$25</formula>
    </cfRule>
    <cfRule type="cellIs" dxfId="19" priority="25" operator="equal">
      <formula>0</formula>
    </cfRule>
    <cfRule type="cellIs" dxfId="18" priority="26" operator="lessThan">
      <formula>$Y$25</formula>
    </cfRule>
  </conditionalFormatting>
  <conditionalFormatting sqref="Y25:Z25">
    <cfRule type="cellIs" dxfId="17" priority="24" operator="greaterThan">
      <formula>$Z$26</formula>
    </cfRule>
  </conditionalFormatting>
  <conditionalFormatting sqref="O23:T23">
    <cfRule type="expression" dxfId="16" priority="20">
      <formula>$Q$27&lt;0</formula>
    </cfRule>
  </conditionalFormatting>
  <conditionalFormatting sqref="Y9:Z10">
    <cfRule type="expression" dxfId="15" priority="64">
      <formula>#REF!="EXPIRED"</formula>
    </cfRule>
  </conditionalFormatting>
  <conditionalFormatting sqref="O60">
    <cfRule type="expression" dxfId="14" priority="65">
      <formula>#REF!="EXPIRED"</formula>
    </cfRule>
  </conditionalFormatting>
  <conditionalFormatting sqref="Z6">
    <cfRule type="cellIs" dxfId="13" priority="13" operator="notEqual">
      <formula>$W$7</formula>
    </cfRule>
  </conditionalFormatting>
  <conditionalFormatting sqref="W7:X7">
    <cfRule type="cellIs" dxfId="12" priority="12" operator="notEqual">
      <formula>$Z$6</formula>
    </cfRule>
  </conditionalFormatting>
  <conditionalFormatting sqref="V7">
    <cfRule type="cellIs" dxfId="11" priority="11" operator="equal">
      <formula>1</formula>
    </cfRule>
  </conditionalFormatting>
  <conditionalFormatting sqref="V22">
    <cfRule type="cellIs" dxfId="10" priority="74" operator="equal">
      <formula>"Select your Inverters."</formula>
    </cfRule>
    <cfRule type="expression" dxfId="9" priority="75">
      <formula>$G$17&gt;1.6</formula>
    </cfRule>
  </conditionalFormatting>
  <conditionalFormatting sqref="W19:Z21">
    <cfRule type="cellIs" dxfId="8" priority="8" operator="equal">
      <formula>"None"</formula>
    </cfRule>
  </conditionalFormatting>
  <conditionalFormatting sqref="W19:X21">
    <cfRule type="cellIs" dxfId="7" priority="10" operator="equal">
      <formula>$Y19</formula>
    </cfRule>
  </conditionalFormatting>
  <conditionalFormatting sqref="V19:V21">
    <cfRule type="expression" dxfId="6" priority="7">
      <formula>$W19="None"</formula>
    </cfRule>
  </conditionalFormatting>
  <conditionalFormatting sqref="AE26">
    <cfRule type="cellIs" dxfId="5" priority="6" operator="equal">
      <formula>1</formula>
    </cfRule>
  </conditionalFormatting>
  <conditionalFormatting sqref="Q16:Q22">
    <cfRule type="expression" dxfId="4" priority="5">
      <formula>$O16=""</formula>
    </cfRule>
  </conditionalFormatting>
  <conditionalFormatting sqref="AG27:AG33 AI27:AI33 AG35:AI35">
    <cfRule type="expression" dxfId="3" priority="3">
      <formula>$M$21=TRUE</formula>
    </cfRule>
  </conditionalFormatting>
  <conditionalFormatting sqref="AI26 AG26">
    <cfRule type="expression" dxfId="2" priority="2">
      <formula>$M$21=TRUE</formula>
    </cfRule>
  </conditionalFormatting>
  <conditionalFormatting sqref="A1:XFD74">
    <cfRule type="expression" dxfId="1" priority="1">
      <formula>$P$75&gt;$P$76</formula>
    </cfRule>
  </conditionalFormatting>
  <dataValidations count="10">
    <dataValidation type="list" allowBlank="1" showInputMessage="1" showErrorMessage="1" sqref="AH7" xr:uid="{FEC29200-7CC2-4BBC-B593-4EE3EDFA8E79}">
      <formula1>$J$7:$J$66</formula1>
    </dataValidation>
    <dataValidation type="whole" operator="greaterThanOrEqual" allowBlank="1" showInputMessage="1" showErrorMessage="1" sqref="Q16:Q22 Z9:Z10" xr:uid="{470D4D47-212D-4D4D-A2BC-6E2478A59D1F}">
      <formula1>0</formula1>
    </dataValidation>
    <dataValidation type="list" allowBlank="1" showInputMessage="1" showErrorMessage="1" sqref="AH11" xr:uid="{B3969B77-90D9-481D-9B79-446CAC0A79C0}">
      <formula1>$M$25:$M$34</formula1>
    </dataValidation>
    <dataValidation type="list" allowBlank="1" showInputMessage="1" showErrorMessage="1" sqref="Z26" xr:uid="{8FD33FC3-966B-4547-9680-1853BAB1ED66}">
      <formula1>$G$25:$G$67</formula1>
    </dataValidation>
    <dataValidation type="decimal" operator="greaterThan" allowBlank="1" showInputMessage="1" showErrorMessage="1" sqref="X35:Y36" xr:uid="{5EA207DD-3E1E-4811-B3E9-AC7C3CDA52C4}">
      <formula1>0</formula1>
    </dataValidation>
    <dataValidation operator="greaterThan" allowBlank="1" showInputMessage="1" showErrorMessage="1" sqref="Z35:Z36" xr:uid="{C379CF6F-2724-4A04-8C9D-BB2B634D572D}"/>
    <dataValidation type="list" errorStyle="warning" allowBlank="1" showInputMessage="1" showErrorMessage="1" errorTitle="That's more than 100 panels." error="You sure about this?" sqref="Z6" xr:uid="{706C0D14-CBB9-4A0D-9A21-454CEDE69F12}">
      <formula1>$F$25:$F$125</formula1>
    </dataValidation>
    <dataValidation type="list" allowBlank="1" showInputMessage="1" showErrorMessage="1" sqref="V7" xr:uid="{ED623E7A-10B3-485D-BD62-D9614F19CB20}">
      <formula1>$F$6:$F$15</formula1>
    </dataValidation>
    <dataValidation type="list" allowBlank="1" showInputMessage="1" showErrorMessage="1" sqref="AG54" xr:uid="{94302900-860E-4787-A714-C16B6A5A3A90}">
      <formula1>$M$47:$M$51</formula1>
    </dataValidation>
    <dataValidation type="list" allowBlank="1" showInputMessage="1" showErrorMessage="1" sqref="Z15" xr:uid="{699DC787-A5FF-4185-BBAE-C46A81B7809D}">
      <formula1>#REF!</formula1>
    </dataValidation>
  </dataValidations>
  <hyperlinks>
    <hyperlink ref="P7" r:id="rId1" xr:uid="{2ECAD031-351A-4D01-9736-7DE210819A70}"/>
  </hyperlinks>
  <printOptions horizontalCentered="1"/>
  <pageMargins left="0" right="0" top="0.78740157480314965" bottom="0" header="0.31496062992125984" footer="0.31496062992125984"/>
  <pageSetup paperSize="9" scale="5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29</xdr:col>
                    <xdr:colOff>47625</xdr:colOff>
                    <xdr:row>17</xdr:row>
                    <xdr:rowOff>180975</xdr:rowOff>
                  </from>
                  <to>
                    <xdr:col>31</xdr:col>
                    <xdr:colOff>219075</xdr:colOff>
                    <xdr:row>18</xdr:row>
                    <xdr:rowOff>180975</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29</xdr:col>
                    <xdr:colOff>47625</xdr:colOff>
                    <xdr:row>11</xdr:row>
                    <xdr:rowOff>190500</xdr:rowOff>
                  </from>
                  <to>
                    <xdr:col>30</xdr:col>
                    <xdr:colOff>466725</xdr:colOff>
                    <xdr:row>12</xdr:row>
                    <xdr:rowOff>180975</xdr:rowOff>
                  </to>
                </anchor>
              </controlPr>
            </control>
          </mc:Choice>
        </mc:AlternateContent>
        <mc:AlternateContent xmlns:mc="http://schemas.openxmlformats.org/markup-compatibility/2006">
          <mc:Choice Requires="x14">
            <control shapeId="1038" r:id="rId7" name="Check Box 14">
              <controlPr defaultSize="0" autoFill="0" autoLine="0" autoPict="0">
                <anchor moveWithCells="1">
                  <from>
                    <xdr:col>21</xdr:col>
                    <xdr:colOff>619125</xdr:colOff>
                    <xdr:row>13</xdr:row>
                    <xdr:rowOff>0</xdr:rowOff>
                  </from>
                  <to>
                    <xdr:col>24</xdr:col>
                    <xdr:colOff>619125</xdr:colOff>
                    <xdr:row>13</xdr:row>
                    <xdr:rowOff>180975</xdr:rowOff>
                  </to>
                </anchor>
              </controlPr>
            </control>
          </mc:Choice>
        </mc:AlternateContent>
        <mc:AlternateContent xmlns:mc="http://schemas.openxmlformats.org/markup-compatibility/2006">
          <mc:Choice Requires="x14">
            <control shapeId="1055" r:id="rId8" name="Check Box 31">
              <controlPr defaultSize="0" autoFill="0" autoLine="0" autoPict="0">
                <anchor moveWithCells="1">
                  <from>
                    <xdr:col>14</xdr:col>
                    <xdr:colOff>76200</xdr:colOff>
                    <xdr:row>57</xdr:row>
                    <xdr:rowOff>9525</xdr:rowOff>
                  </from>
                  <to>
                    <xdr:col>19</xdr:col>
                    <xdr:colOff>533400</xdr:colOff>
                    <xdr:row>57</xdr:row>
                    <xdr:rowOff>180975</xdr:rowOff>
                  </to>
                </anchor>
              </controlPr>
            </control>
          </mc:Choice>
        </mc:AlternateContent>
        <mc:AlternateContent xmlns:mc="http://schemas.openxmlformats.org/markup-compatibility/2006">
          <mc:Choice Requires="x14">
            <control shapeId="1116" r:id="rId9" name="Button 92">
              <controlPr defaultSize="0" print="0" autoFill="0" autoPict="0" macro="[0]!Button92_Click">
                <anchor moveWithCells="1" sizeWithCells="1">
                  <from>
                    <xdr:col>14</xdr:col>
                    <xdr:colOff>19050</xdr:colOff>
                    <xdr:row>3</xdr:row>
                    <xdr:rowOff>19050</xdr:rowOff>
                  </from>
                  <to>
                    <xdr:col>14</xdr:col>
                    <xdr:colOff>523875</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4A0F1A25-E009-400C-B6AC-3CBEE94857DC}">
          <x14:formula1>
            <xm:f>SCHEDULE!$A$13:$A$36</xm:f>
          </x14:formula1>
          <xm:sqref>R16:S22</xm:sqref>
        </x14:dataValidation>
        <x14:dataValidation type="list" allowBlank="1" showInputMessage="1" showErrorMessage="1" xr:uid="{A5CA073D-5211-4155-B274-218AC114313E}">
          <x14:formula1>
            <xm:f>SCHEDULE!$A$3:$A$9</xm:f>
          </x14:formula1>
          <xm:sqref>T16:T22</xm:sqref>
        </x14:dataValidation>
        <x14:dataValidation type="list" allowBlank="1" showInputMessage="1" showErrorMessage="1" xr:uid="{5E7A59DE-C67E-499D-B16A-51D074875787}">
          <x14:formula1>
            <xm:f>ADMIN!$B$5:$B$17</xm:f>
          </x14:formula1>
          <xm:sqref>O16:O22</xm:sqref>
        </x14:dataValidation>
        <x14:dataValidation type="list" allowBlank="1" showInputMessage="1" showErrorMessage="1" xr:uid="{F6C9FD40-7B90-42F9-9DE4-8505F043DBE2}">
          <x14:formula1>
            <xm:f>ADMIN!$B$55:$B$60</xm:f>
          </x14:formula1>
          <xm:sqref>Y19:Z21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2315-560D-433E-844A-AE1BF0AD33A9}">
  <sheetPr codeName="Sheet3"/>
  <dimension ref="A1:AC80"/>
  <sheetViews>
    <sheetView workbookViewId="0">
      <selection activeCell="AC6" sqref="AC6"/>
    </sheetView>
  </sheetViews>
  <sheetFormatPr defaultColWidth="8.5703125" defaultRowHeight="15" x14ac:dyDescent="0.25"/>
  <cols>
    <col min="1" max="1" width="19" style="8" bestFit="1" customWidth="1"/>
    <col min="2" max="2" width="10.5703125" style="9" bestFit="1" customWidth="1"/>
    <col min="3" max="3" width="9.140625" style="9" bestFit="1" customWidth="1"/>
    <col min="4" max="5" width="8.5703125" style="9"/>
    <col min="6" max="7" width="8.5703125" style="8" customWidth="1"/>
    <col min="8" max="14" width="8.5703125" style="9" customWidth="1"/>
    <col min="15" max="21" width="8.5703125" style="9"/>
    <col min="23" max="24" width="8.5703125" style="8"/>
    <col min="25" max="25" width="10.5703125" style="273" bestFit="1" customWidth="1"/>
    <col min="26" max="27" width="10.5703125" style="273" customWidth="1"/>
    <col min="28" max="16384" width="8.5703125" style="8"/>
  </cols>
  <sheetData>
    <row r="1" spans="1:29" ht="15.75" thickBot="1" x14ac:dyDescent="0.3"/>
    <row r="2" spans="1:29" ht="15.75" thickTop="1" x14ac:dyDescent="0.25">
      <c r="A2" s="96" t="s">
        <v>68</v>
      </c>
      <c r="B2" s="8"/>
      <c r="E2" s="14"/>
      <c r="N2" s="14" t="s">
        <v>29</v>
      </c>
      <c r="O2" s="15" t="str">
        <f t="array" ref="O2:U4">IF(TRANSPOSE(CALCULATOR!R16:T22)="","",TRANSPOSE(CALCULATOR!R16:T22))</f>
        <v/>
      </c>
      <c r="P2" s="15" t="str">
        <v/>
      </c>
      <c r="Q2" s="15" t="str">
        <v/>
      </c>
      <c r="R2" s="15" t="str">
        <v/>
      </c>
      <c r="S2" s="15" t="str">
        <v/>
      </c>
      <c r="T2" s="15" t="str">
        <v/>
      </c>
      <c r="U2" s="15" t="str">
        <v/>
      </c>
      <c r="X2" s="278" t="s">
        <v>238</v>
      </c>
    </row>
    <row r="3" spans="1:29" x14ac:dyDescent="0.25">
      <c r="A3" s="97">
        <v>1</v>
      </c>
      <c r="B3" s="8"/>
      <c r="E3" s="16"/>
      <c r="N3" s="16" t="s">
        <v>30</v>
      </c>
      <c r="O3" s="17" t="str">
        <v/>
      </c>
      <c r="P3" s="17" t="str">
        <v/>
      </c>
      <c r="Q3" s="17" t="str">
        <v/>
      </c>
      <c r="R3" s="17" t="str">
        <v/>
      </c>
      <c r="S3" s="17" t="str">
        <v/>
      </c>
      <c r="T3" s="17" t="str">
        <v/>
      </c>
      <c r="U3" s="17" t="str">
        <v/>
      </c>
      <c r="X3" s="268">
        <f>ROUND(NPER(ADMIN!C85/12,J45,Y6,,1),0)</f>
        <v>73</v>
      </c>
      <c r="Y3" s="269">
        <f>ROUNDDOWN(X3/12,0)</f>
        <v>6</v>
      </c>
      <c r="Z3" s="270">
        <f>X3-Y3*12</f>
        <v>1</v>
      </c>
      <c r="AA3" s="270"/>
      <c r="AB3" s="48" t="str">
        <f>TEXT(Y3,"0")&amp;"-Yrs."&amp;IF(Z3=0,"",IF(Z3=1," &amp; "&amp;TEXT(Z3,"0")&amp;"-Month"," &amp; "&amp;TEXT(Z3,"0")&amp;"-Months"))</f>
        <v>6-Yrs. &amp; 1-Month</v>
      </c>
    </row>
    <row r="4" spans="1:29" x14ac:dyDescent="0.25">
      <c r="A4" s="98">
        <v>2</v>
      </c>
      <c r="B4" s="8"/>
      <c r="E4" s="18"/>
      <c r="N4" s="18" t="s">
        <v>31</v>
      </c>
      <c r="O4" s="9" t="str">
        <v/>
      </c>
      <c r="P4" s="9" t="str">
        <v/>
      </c>
      <c r="Q4" s="9" t="str">
        <v/>
      </c>
      <c r="R4" s="9" t="str">
        <v/>
      </c>
      <c r="S4" s="9" t="str">
        <v/>
      </c>
      <c r="T4" s="9" t="str">
        <v/>
      </c>
      <c r="U4" s="9" t="str">
        <v/>
      </c>
    </row>
    <row r="5" spans="1:29" x14ac:dyDescent="0.25">
      <c r="A5" s="98">
        <v>3</v>
      </c>
      <c r="B5" s="8"/>
      <c r="E5" s="19"/>
      <c r="N5" s="19" t="s">
        <v>32</v>
      </c>
      <c r="O5" s="20">
        <f t="shared" ref="O5:U5" si="0">IFERROR((MAX(0,MIN(MOD(O2-6/24,1)+IF(O2=O3,1,IF(O3&lt;O2,O3+1-O2,O3-O2)),0.5)-MAX(MOD(O2-6/24,1),0))+MAX(0,MIN(MOD(O2-6/24,1)+IF(O2=O3,1,IF(O3&lt;O2,O3+1-O2,O3-O2)),1.5)-MAX(MOD(O2-6/24,1),1)))*24,0)</f>
        <v>0</v>
      </c>
      <c r="P5" s="20">
        <f t="shared" si="0"/>
        <v>0</v>
      </c>
      <c r="Q5" s="20">
        <f t="shared" si="0"/>
        <v>0</v>
      </c>
      <c r="R5" s="20">
        <f t="shared" si="0"/>
        <v>0</v>
      </c>
      <c r="S5" s="20">
        <f t="shared" si="0"/>
        <v>0</v>
      </c>
      <c r="T5" s="20">
        <f t="shared" si="0"/>
        <v>0</v>
      </c>
      <c r="U5" s="20">
        <f t="shared" si="0"/>
        <v>0</v>
      </c>
      <c r="X5" s="278" t="s">
        <v>231</v>
      </c>
    </row>
    <row r="6" spans="1:29" x14ac:dyDescent="0.25">
      <c r="A6" s="98">
        <v>4</v>
      </c>
      <c r="B6" s="8"/>
      <c r="E6" s="21"/>
      <c r="N6" s="21" t="s">
        <v>33</v>
      </c>
      <c r="O6" s="22">
        <f t="shared" ref="O6:U6" si="1">IFERROR((MAX(0,MIN(MOD(O2-6/24,1)+IF(O2=O3,1,IF(O3&lt;O2,O3+1-O2,O3-O2)),1)-MAX(MOD(O2-6/24,1),0.5))+MAX(0,MIN(MOD(O2-6/24,1)+IF(O2=O3,1,IF(O3&lt;O2,O3+1-O2,O3-O2)),2)-MAX(MOD(O2-6/24,1),1.5)))*24,0)</f>
        <v>0</v>
      </c>
      <c r="P6" s="22">
        <f t="shared" si="1"/>
        <v>0</v>
      </c>
      <c r="Q6" s="22">
        <f t="shared" si="1"/>
        <v>0</v>
      </c>
      <c r="R6" s="22">
        <f t="shared" si="1"/>
        <v>0</v>
      </c>
      <c r="S6" s="22">
        <f t="shared" si="1"/>
        <v>0</v>
      </c>
      <c r="T6" s="22">
        <f t="shared" si="1"/>
        <v>0</v>
      </c>
      <c r="U6" s="22">
        <f t="shared" si="1"/>
        <v>0</v>
      </c>
      <c r="X6" s="18" t="s">
        <v>237</v>
      </c>
      <c r="Y6" s="273">
        <f>SUM(Y8:Y38)</f>
        <v>-437262.69011562248</v>
      </c>
      <c r="Z6" s="273">
        <f>SUM(Z8:Z38)</f>
        <v>-428178.74135689827</v>
      </c>
      <c r="AA6" s="273">
        <f>SUM(Y6:Z6)</f>
        <v>-865441.43147252081</v>
      </c>
      <c r="AB6" s="273">
        <f>SUM(AB8:AB38)</f>
        <v>2043975.4303688484</v>
      </c>
      <c r="AC6" s="276">
        <f ca="1">IFERROR(IRR(OFFSET(AC8,0,0,CALCULATOR!AG54)),"Inc. Yrs or Dec. Tenor")</f>
        <v>0.27685077450304063</v>
      </c>
    </row>
    <row r="7" spans="1:29" ht="15.75" thickBot="1" x14ac:dyDescent="0.3">
      <c r="A7" s="98">
        <v>5</v>
      </c>
      <c r="B7" s="8"/>
      <c r="E7" s="18"/>
      <c r="N7" s="23" t="s">
        <v>34</v>
      </c>
      <c r="O7" s="24">
        <f t="shared" ref="O7:U7" si="2">O5+O6</f>
        <v>0</v>
      </c>
      <c r="P7" s="24">
        <f t="shared" si="2"/>
        <v>0</v>
      </c>
      <c r="Q7" s="24">
        <f t="shared" si="2"/>
        <v>0</v>
      </c>
      <c r="R7" s="24">
        <f t="shared" si="2"/>
        <v>0</v>
      </c>
      <c r="S7" s="24">
        <f t="shared" si="2"/>
        <v>0</v>
      </c>
      <c r="T7" s="24">
        <f t="shared" si="2"/>
        <v>0</v>
      </c>
      <c r="U7" s="24">
        <f t="shared" si="2"/>
        <v>0</v>
      </c>
      <c r="X7" s="9" t="s">
        <v>232</v>
      </c>
      <c r="Y7" s="277" t="s">
        <v>236</v>
      </c>
      <c r="Z7" s="277" t="s">
        <v>234</v>
      </c>
      <c r="AA7" s="277" t="s">
        <v>239</v>
      </c>
      <c r="AB7" s="18" t="s">
        <v>235</v>
      </c>
      <c r="AC7" s="18" t="s">
        <v>233</v>
      </c>
    </row>
    <row r="8" spans="1:29" x14ac:dyDescent="0.25">
      <c r="A8" s="98">
        <v>6</v>
      </c>
      <c r="B8" s="8"/>
      <c r="E8" s="18"/>
      <c r="N8" s="18" t="s">
        <v>35</v>
      </c>
      <c r="O8" s="25">
        <f t="array" ref="O8:U8">TRANSPOSE(CALCULATOR!B10:B16)</f>
        <v>0</v>
      </c>
      <c r="P8" s="25">
        <v>0</v>
      </c>
      <c r="Q8" s="25">
        <v>0</v>
      </c>
      <c r="R8" s="25">
        <v>0</v>
      </c>
      <c r="S8" s="25">
        <v>0</v>
      </c>
      <c r="T8" s="25">
        <v>0</v>
      </c>
      <c r="U8" s="25">
        <v>0</v>
      </c>
      <c r="X8" s="9">
        <v>0</v>
      </c>
      <c r="Y8" s="273">
        <f>-CALCULATOR!AH14</f>
        <v>0</v>
      </c>
      <c r="AA8" s="273">
        <f>SUM(Y8:Z8)</f>
        <v>0</v>
      </c>
      <c r="AC8" s="275">
        <f>SUM(AA8:AB8)</f>
        <v>0</v>
      </c>
    </row>
    <row r="9" spans="1:29" ht="15.75" thickBot="1" x14ac:dyDescent="0.3">
      <c r="A9" s="99">
        <v>7</v>
      </c>
      <c r="B9" s="8"/>
      <c r="E9" s="18"/>
      <c r="N9" s="18" t="s">
        <v>36</v>
      </c>
      <c r="O9" s="25">
        <f t="array" ref="O9:U9">TRANSPOSE(CALCULATOR!D10:D16)</f>
        <v>0</v>
      </c>
      <c r="P9" s="25">
        <v>0</v>
      </c>
      <c r="Q9" s="25">
        <v>0</v>
      </c>
      <c r="R9" s="25">
        <v>0</v>
      </c>
      <c r="S9" s="25">
        <v>0</v>
      </c>
      <c r="T9" s="25">
        <v>0</v>
      </c>
      <c r="U9" s="25">
        <v>0</v>
      </c>
      <c r="X9" s="9">
        <v>1</v>
      </c>
      <c r="Y9" s="273">
        <f>-IF(X9*12&lt;=CALCULATOR!$AH$7,CALCULATOR!$AI$22*12,MAX(0,(CALCULATOR!$AH$7-X8*12))*CALCULATOR!$AI$22)</f>
        <v>-87452.538023124493</v>
      </c>
      <c r="Z9" s="273">
        <f>-(ADMIN!C90+ADMIN!C89*CALCULATOR!Z6)</f>
        <v>-9000</v>
      </c>
      <c r="AA9" s="273">
        <f t="shared" ref="AA9:AA38" si="3">SUM(Y9:Z9)</f>
        <v>-96452.538023124493</v>
      </c>
      <c r="AB9" s="274">
        <f>J45*12</f>
        <v>73200</v>
      </c>
      <c r="AC9" s="275">
        <f t="shared" ref="AC9:AC38" si="4">SUM(AA9:AB9)</f>
        <v>-23252.538023124493</v>
      </c>
    </row>
    <row r="10" spans="1:29" ht="16.5" thickTop="1" thickBot="1" x14ac:dyDescent="0.3">
      <c r="B10" s="8"/>
      <c r="E10" s="18"/>
      <c r="H10" s="25">
        <f>CALCULATOR!Z26</f>
        <v>0</v>
      </c>
      <c r="K10" s="9" t="b">
        <f>CALCULATOR!M18</f>
        <v>0</v>
      </c>
      <c r="N10" s="23" t="s">
        <v>37</v>
      </c>
      <c r="O10" s="26">
        <f>SUM(O8:O9)</f>
        <v>0</v>
      </c>
      <c r="P10" s="26">
        <f t="shared" ref="P10:U10" si="5">SUM(P8:P9)</f>
        <v>0</v>
      </c>
      <c r="Q10" s="26">
        <f t="shared" si="5"/>
        <v>0</v>
      </c>
      <c r="R10" s="26">
        <f t="shared" si="5"/>
        <v>0</v>
      </c>
      <c r="S10" s="26">
        <f t="shared" si="5"/>
        <v>0</v>
      </c>
      <c r="T10" s="26">
        <f t="shared" si="5"/>
        <v>0</v>
      </c>
      <c r="U10" s="26">
        <f t="shared" si="5"/>
        <v>0</v>
      </c>
      <c r="X10" s="9">
        <v>2</v>
      </c>
      <c r="Y10" s="273">
        <f>-IF(X10*12&lt;=CALCULATOR!$AH$7,CALCULATOR!$AI$22*12,MAX(0,(CALCULATOR!$AH$7-X9*12))*CALCULATOR!$AI$22)</f>
        <v>-87452.538023124493</v>
      </c>
      <c r="Z10" s="273">
        <f>Z9*(1+ADMIN!$C$87)</f>
        <v>-9270</v>
      </c>
      <c r="AA10" s="273">
        <f t="shared" si="3"/>
        <v>-96722.538023124493</v>
      </c>
      <c r="AB10" s="274">
        <f>AB9*(1-ADMIN!$C$85)</f>
        <v>72834</v>
      </c>
      <c r="AC10" s="275">
        <f t="shared" si="4"/>
        <v>-23888.538023124493</v>
      </c>
    </row>
    <row r="11" spans="1:29" x14ac:dyDescent="0.25">
      <c r="A11" s="27"/>
      <c r="B11" s="27"/>
      <c r="C11" s="28" t="s">
        <v>38</v>
      </c>
      <c r="D11" s="29"/>
      <c r="E11" s="28"/>
      <c r="F11" s="30"/>
      <c r="G11" s="31"/>
      <c r="H11" s="32" t="s">
        <v>39</v>
      </c>
      <c r="I11" s="33"/>
      <c r="J11" s="34" t="s">
        <v>40</v>
      </c>
      <c r="K11" s="32" t="s">
        <v>41</v>
      </c>
      <c r="L11" s="33"/>
      <c r="M11" s="34" t="s">
        <v>40</v>
      </c>
      <c r="N11" s="35"/>
      <c r="O11" s="36">
        <f t="shared" ref="O11:U11" si="6">IFERROR(O10*12/365/O7,0)</f>
        <v>0</v>
      </c>
      <c r="P11" s="36">
        <f t="shared" si="6"/>
        <v>0</v>
      </c>
      <c r="Q11" s="36">
        <f t="shared" si="6"/>
        <v>0</v>
      </c>
      <c r="R11" s="36">
        <f t="shared" si="6"/>
        <v>0</v>
      </c>
      <c r="S11" s="36">
        <f t="shared" si="6"/>
        <v>0</v>
      </c>
      <c r="T11" s="36">
        <f t="shared" si="6"/>
        <v>0</v>
      </c>
      <c r="U11" s="36">
        <f t="shared" si="6"/>
        <v>0</v>
      </c>
      <c r="X11" s="9">
        <v>3</v>
      </c>
      <c r="Y11" s="273">
        <f>-IF(X11*12&lt;=CALCULATOR!$AH$7,CALCULATOR!$AI$22*12,MAX(0,(CALCULATOR!$AH$7-X10*12))*CALCULATOR!$AI$22)</f>
        <v>-87452.538023124493</v>
      </c>
      <c r="Z11" s="273">
        <f>Z10*(1+ADMIN!$C$87)</f>
        <v>-9548.1</v>
      </c>
      <c r="AA11" s="273">
        <f t="shared" si="3"/>
        <v>-97000.638023124498</v>
      </c>
      <c r="AB11" s="274">
        <f>AB10*(1-ADMIN!$C$85)</f>
        <v>72469.83</v>
      </c>
      <c r="AC11" s="275">
        <f t="shared" si="4"/>
        <v>-24530.808023124497</v>
      </c>
    </row>
    <row r="12" spans="1:29" ht="15.75" thickBot="1" x14ac:dyDescent="0.3">
      <c r="A12" s="37" t="s">
        <v>42</v>
      </c>
      <c r="B12" s="38" t="s">
        <v>208</v>
      </c>
      <c r="C12" s="39" t="s">
        <v>207</v>
      </c>
      <c r="D12" s="40" t="s">
        <v>43</v>
      </c>
      <c r="E12" s="39" t="s">
        <v>44</v>
      </c>
      <c r="F12" s="41" t="s">
        <v>45</v>
      </c>
      <c r="G12" s="42" t="str">
        <f>"Daily Avg. Excess Solar: * "&amp;TEXT(G37,"#.0")&amp;"kWh"</f>
        <v>Daily Avg. Excess Solar: * 4.4kWh</v>
      </c>
      <c r="H12" s="43">
        <f>MIN(G37,CALCULATOR!Z26*ADMIN!C83)*ADMIN!C84</f>
        <v>0</v>
      </c>
      <c r="I12" s="44" t="s">
        <v>46</v>
      </c>
      <c r="J12" s="45" t="s">
        <v>164</v>
      </c>
      <c r="K12" s="43">
        <f>(G37-(H12/ADMIN!C84))*ADMIN!C88*CALCULATOR!M18</f>
        <v>0</v>
      </c>
      <c r="L12" s="44" t="s">
        <v>47</v>
      </c>
      <c r="M12" s="45" t="s">
        <v>165</v>
      </c>
      <c r="N12" s="46"/>
      <c r="O12" s="47">
        <v>1</v>
      </c>
      <c r="P12" s="47">
        <v>2</v>
      </c>
      <c r="Q12" s="47">
        <v>3</v>
      </c>
      <c r="R12" s="47">
        <v>4</v>
      </c>
      <c r="S12" s="47">
        <v>5</v>
      </c>
      <c r="T12" s="47">
        <v>6</v>
      </c>
      <c r="U12" s="47">
        <v>7</v>
      </c>
      <c r="W12" s="48"/>
      <c r="X12" s="9">
        <v>4</v>
      </c>
      <c r="Y12" s="273">
        <f>-IF(X12*12&lt;=CALCULATOR!$AH$7,CALCULATOR!$AI$22*12,MAX(0,(CALCULATOR!$AH$7-X11*12))*CALCULATOR!$AI$22)</f>
        <v>-87452.538023124493</v>
      </c>
      <c r="Z12" s="273">
        <f>Z11*(1+ADMIN!$C$87)</f>
        <v>-9834.5430000000015</v>
      </c>
      <c r="AA12" s="273">
        <f t="shared" si="3"/>
        <v>-97287.081023124498</v>
      </c>
      <c r="AB12" s="274">
        <f>AB11*(1-ADMIN!$C$85)</f>
        <v>72107.480850000007</v>
      </c>
      <c r="AC12" s="275">
        <f t="shared" si="4"/>
        <v>-25179.600173124491</v>
      </c>
    </row>
    <row r="13" spans="1:29" x14ac:dyDescent="0.25">
      <c r="A13" s="49">
        <v>0</v>
      </c>
      <c r="B13" s="50">
        <f>CALCULATOR!Q27*12/365/24</f>
        <v>1.4170996693434106</v>
      </c>
      <c r="C13" s="51">
        <f t="shared" ref="C13:C36" si="7">SUM(O13:U13)</f>
        <v>0</v>
      </c>
      <c r="D13" s="52">
        <f t="shared" ref="D13:D36" si="8">B13+C13</f>
        <v>1.4170996693434106</v>
      </c>
      <c r="E13" s="51">
        <v>0</v>
      </c>
      <c r="F13" s="51">
        <f t="shared" ref="F13:F36" si="9">MIN(D13,E13)</f>
        <v>0</v>
      </c>
      <c r="G13" s="51">
        <f t="shared" ref="G13:G36" si="10">E13-F13</f>
        <v>0</v>
      </c>
      <c r="H13" s="53">
        <f t="shared" ref="H13:H36" si="11">MAX(0,H12-(D13-F13))</f>
        <v>0</v>
      </c>
      <c r="I13" s="54">
        <f t="shared" ref="I13:I36" si="12">H12-H13</f>
        <v>0</v>
      </c>
      <c r="J13" s="55">
        <f t="shared" ref="J13:J36" si="13">D13-F13-I13</f>
        <v>1.4170996693434106</v>
      </c>
      <c r="K13" s="53">
        <f t="shared" ref="K13:K36" si="14">MAX(0,K12-J13)</f>
        <v>0</v>
      </c>
      <c r="L13" s="54">
        <f t="shared" ref="L13:L36" si="15">K12-K13</f>
        <v>0</v>
      </c>
      <c r="M13" s="55">
        <f t="shared" ref="M13:M36" si="16">J13-L13</f>
        <v>1.4170996693434106</v>
      </c>
      <c r="N13" s="56"/>
      <c r="O13" s="57" t="str">
        <f t="shared" ref="O13:U28" si="17">IF(OR(O$2="",O$3=""),"",IF(O$2=O$3,1,IF(O$3&gt;O$2,IF(AND($A13&gt;=O$2,$A13&lt;O$3),1,0),IF(OR($A13&gt;=O$2,$A13&lt;O$3),1,0)))*O$11)</f>
        <v/>
      </c>
      <c r="P13" s="57" t="str">
        <f t="shared" si="17"/>
        <v/>
      </c>
      <c r="Q13" s="57" t="str">
        <f t="shared" si="17"/>
        <v/>
      </c>
      <c r="R13" s="57" t="str">
        <f t="shared" si="17"/>
        <v/>
      </c>
      <c r="S13" s="57" t="str">
        <f t="shared" si="17"/>
        <v/>
      </c>
      <c r="T13" s="57" t="str">
        <f t="shared" si="17"/>
        <v/>
      </c>
      <c r="U13" s="57" t="str">
        <f t="shared" si="17"/>
        <v/>
      </c>
      <c r="W13" s="58"/>
      <c r="X13" s="9">
        <v>5</v>
      </c>
      <c r="Y13" s="273">
        <f>-IF(X13*12&lt;=CALCULATOR!$AH$7,CALCULATOR!$AI$22*12,MAX(0,(CALCULATOR!$AH$7-X12*12))*CALCULATOR!$AI$22)</f>
        <v>-87452.538023124493</v>
      </c>
      <c r="Z13" s="273">
        <f>Z12*(1+ADMIN!$C$87)</f>
        <v>-10129.579290000001</v>
      </c>
      <c r="AA13" s="273">
        <f t="shared" si="3"/>
        <v>-97582.117313124501</v>
      </c>
      <c r="AB13" s="274">
        <f>AB12*(1-ADMIN!$C$85)</f>
        <v>71746.943445750003</v>
      </c>
      <c r="AC13" s="275">
        <f t="shared" si="4"/>
        <v>-25835.173867374499</v>
      </c>
    </row>
    <row r="14" spans="1:29" x14ac:dyDescent="0.25">
      <c r="A14" s="49">
        <v>4.1666666666666699E-2</v>
      </c>
      <c r="B14" s="50">
        <f t="shared" ref="B14:B36" si="18">$B$13</f>
        <v>1.4170996693434106</v>
      </c>
      <c r="C14" s="51">
        <f t="shared" si="7"/>
        <v>0</v>
      </c>
      <c r="D14" s="52">
        <f t="shared" si="8"/>
        <v>1.4170996693434106</v>
      </c>
      <c r="E14" s="51">
        <v>0</v>
      </c>
      <c r="F14" s="51">
        <f t="shared" si="9"/>
        <v>0</v>
      </c>
      <c r="G14" s="51">
        <f t="shared" si="10"/>
        <v>0</v>
      </c>
      <c r="H14" s="53">
        <f t="shared" si="11"/>
        <v>0</v>
      </c>
      <c r="I14" s="54">
        <f t="shared" si="12"/>
        <v>0</v>
      </c>
      <c r="J14" s="55">
        <f t="shared" si="13"/>
        <v>1.4170996693434106</v>
      </c>
      <c r="K14" s="53">
        <f t="shared" si="14"/>
        <v>0</v>
      </c>
      <c r="L14" s="54">
        <f t="shared" si="15"/>
        <v>0</v>
      </c>
      <c r="M14" s="55">
        <f t="shared" si="16"/>
        <v>1.4170996693434106</v>
      </c>
      <c r="N14" s="56"/>
      <c r="O14" s="57" t="str">
        <f t="shared" si="17"/>
        <v/>
      </c>
      <c r="P14" s="57" t="str">
        <f t="shared" si="17"/>
        <v/>
      </c>
      <c r="Q14" s="57" t="str">
        <f t="shared" si="17"/>
        <v/>
      </c>
      <c r="R14" s="57" t="str">
        <f t="shared" si="17"/>
        <v/>
      </c>
      <c r="S14" s="57" t="str">
        <f t="shared" si="17"/>
        <v/>
      </c>
      <c r="T14" s="57" t="str">
        <f t="shared" si="17"/>
        <v/>
      </c>
      <c r="U14" s="57" t="str">
        <f t="shared" si="17"/>
        <v/>
      </c>
      <c r="W14" s="58"/>
      <c r="X14" s="9">
        <v>6</v>
      </c>
      <c r="Y14" s="273">
        <f>-IF(X14*12&lt;=CALCULATOR!$AH$7,CALCULATOR!$AI$22*12,MAX(0,(CALCULATOR!$AH$7-X13*12))*CALCULATOR!$AI$22)</f>
        <v>0</v>
      </c>
      <c r="Z14" s="273">
        <f>Z13*(1+ADMIN!$C$87)</f>
        <v>-10433.466668700003</v>
      </c>
      <c r="AA14" s="273">
        <f t="shared" si="3"/>
        <v>-10433.466668700003</v>
      </c>
      <c r="AB14" s="274">
        <f>AB13*(1-ADMIN!$C$85)</f>
        <v>71388.208728521247</v>
      </c>
      <c r="AC14" s="275">
        <f t="shared" si="4"/>
        <v>60954.742059821248</v>
      </c>
    </row>
    <row r="15" spans="1:29" x14ac:dyDescent="0.25">
      <c r="A15" s="49">
        <v>8.3333333333333301E-2</v>
      </c>
      <c r="B15" s="50">
        <f t="shared" si="18"/>
        <v>1.4170996693434106</v>
      </c>
      <c r="C15" s="51">
        <f t="shared" si="7"/>
        <v>0</v>
      </c>
      <c r="D15" s="52">
        <f t="shared" si="8"/>
        <v>1.4170996693434106</v>
      </c>
      <c r="E15" s="51">
        <v>0</v>
      </c>
      <c r="F15" s="51">
        <f t="shared" si="9"/>
        <v>0</v>
      </c>
      <c r="G15" s="51">
        <f t="shared" si="10"/>
        <v>0</v>
      </c>
      <c r="H15" s="53">
        <f t="shared" si="11"/>
        <v>0</v>
      </c>
      <c r="I15" s="54">
        <f t="shared" si="12"/>
        <v>0</v>
      </c>
      <c r="J15" s="55">
        <f t="shared" si="13"/>
        <v>1.4170996693434106</v>
      </c>
      <c r="K15" s="53">
        <f t="shared" si="14"/>
        <v>0</v>
      </c>
      <c r="L15" s="54">
        <f t="shared" si="15"/>
        <v>0</v>
      </c>
      <c r="M15" s="55">
        <f t="shared" si="16"/>
        <v>1.4170996693434106</v>
      </c>
      <c r="N15" s="56"/>
      <c r="O15" s="57" t="str">
        <f t="shared" si="17"/>
        <v/>
      </c>
      <c r="P15" s="57" t="str">
        <f t="shared" si="17"/>
        <v/>
      </c>
      <c r="Q15" s="57" t="str">
        <f t="shared" si="17"/>
        <v/>
      </c>
      <c r="R15" s="57" t="str">
        <f t="shared" si="17"/>
        <v/>
      </c>
      <c r="S15" s="57" t="str">
        <f t="shared" si="17"/>
        <v/>
      </c>
      <c r="T15" s="57" t="str">
        <f t="shared" si="17"/>
        <v/>
      </c>
      <c r="U15" s="57" t="str">
        <f t="shared" si="17"/>
        <v/>
      </c>
      <c r="W15" s="58"/>
      <c r="X15" s="9">
        <v>7</v>
      </c>
      <c r="Y15" s="273">
        <f>-IF(X15*12&lt;=CALCULATOR!$AH$7,CALCULATOR!$AI$22*12,MAX(0,(CALCULATOR!$AH$7-X14*12))*CALCULATOR!$AI$22)</f>
        <v>0</v>
      </c>
      <c r="Z15" s="273">
        <f>Z14*(1+ADMIN!$C$87)</f>
        <v>-10746.470668761003</v>
      </c>
      <c r="AA15" s="273">
        <f t="shared" si="3"/>
        <v>-10746.470668761003</v>
      </c>
      <c r="AB15" s="274">
        <f>AB14*(1-ADMIN!$C$85)</f>
        <v>71031.267684878636</v>
      </c>
      <c r="AC15" s="275">
        <f t="shared" si="4"/>
        <v>60284.797016117634</v>
      </c>
    </row>
    <row r="16" spans="1:29" x14ac:dyDescent="0.25">
      <c r="A16" s="49">
        <v>0.125</v>
      </c>
      <c r="B16" s="50">
        <f t="shared" si="18"/>
        <v>1.4170996693434106</v>
      </c>
      <c r="C16" s="51">
        <f t="shared" si="7"/>
        <v>0</v>
      </c>
      <c r="D16" s="52">
        <f t="shared" si="8"/>
        <v>1.4170996693434106</v>
      </c>
      <c r="E16" s="51">
        <v>0</v>
      </c>
      <c r="F16" s="51">
        <f t="shared" si="9"/>
        <v>0</v>
      </c>
      <c r="G16" s="51">
        <f t="shared" si="10"/>
        <v>0</v>
      </c>
      <c r="H16" s="53">
        <f t="shared" si="11"/>
        <v>0</v>
      </c>
      <c r="I16" s="54">
        <f t="shared" si="12"/>
        <v>0</v>
      </c>
      <c r="J16" s="55">
        <f t="shared" si="13"/>
        <v>1.4170996693434106</v>
      </c>
      <c r="K16" s="53">
        <f t="shared" si="14"/>
        <v>0</v>
      </c>
      <c r="L16" s="54">
        <f t="shared" si="15"/>
        <v>0</v>
      </c>
      <c r="M16" s="55">
        <f t="shared" si="16"/>
        <v>1.4170996693434106</v>
      </c>
      <c r="N16" s="56"/>
      <c r="O16" s="57" t="str">
        <f t="shared" si="17"/>
        <v/>
      </c>
      <c r="P16" s="57" t="str">
        <f t="shared" si="17"/>
        <v/>
      </c>
      <c r="Q16" s="57" t="str">
        <f t="shared" si="17"/>
        <v/>
      </c>
      <c r="R16" s="57" t="str">
        <f t="shared" si="17"/>
        <v/>
      </c>
      <c r="S16" s="57" t="str">
        <f t="shared" si="17"/>
        <v/>
      </c>
      <c r="T16" s="57" t="str">
        <f t="shared" si="17"/>
        <v/>
      </c>
      <c r="U16" s="57" t="str">
        <f t="shared" si="17"/>
        <v/>
      </c>
      <c r="W16" s="58"/>
      <c r="X16" s="9">
        <v>8</v>
      </c>
      <c r="Y16" s="273">
        <f>-IF(X16*12&lt;=CALCULATOR!$AH$7,CALCULATOR!$AI$22*12,MAX(0,(CALCULATOR!$AH$7-X15*12))*CALCULATOR!$AI$22)</f>
        <v>0</v>
      </c>
      <c r="Z16" s="273">
        <f>Z15*(1+ADMIN!$C$87)</f>
        <v>-11068.864788823834</v>
      </c>
      <c r="AA16" s="273">
        <f t="shared" si="3"/>
        <v>-11068.864788823834</v>
      </c>
      <c r="AB16" s="274">
        <f>AB15*(1-ADMIN!$C$85)</f>
        <v>70676.111346454243</v>
      </c>
      <c r="AC16" s="275">
        <f t="shared" si="4"/>
        <v>59607.246557630409</v>
      </c>
    </row>
    <row r="17" spans="1:29" x14ac:dyDescent="0.25">
      <c r="A17" s="49">
        <v>0.16666666666666699</v>
      </c>
      <c r="B17" s="50">
        <f t="shared" si="18"/>
        <v>1.4170996693434106</v>
      </c>
      <c r="C17" s="51">
        <f t="shared" si="7"/>
        <v>0</v>
      </c>
      <c r="D17" s="52">
        <f t="shared" si="8"/>
        <v>1.4170996693434106</v>
      </c>
      <c r="E17" s="51">
        <v>0</v>
      </c>
      <c r="F17" s="51">
        <f t="shared" si="9"/>
        <v>0</v>
      </c>
      <c r="G17" s="51">
        <f t="shared" si="10"/>
        <v>0</v>
      </c>
      <c r="H17" s="53">
        <f t="shared" si="11"/>
        <v>0</v>
      </c>
      <c r="I17" s="54">
        <f t="shared" si="12"/>
        <v>0</v>
      </c>
      <c r="J17" s="55">
        <f t="shared" si="13"/>
        <v>1.4170996693434106</v>
      </c>
      <c r="K17" s="53">
        <f t="shared" si="14"/>
        <v>0</v>
      </c>
      <c r="L17" s="54">
        <f t="shared" si="15"/>
        <v>0</v>
      </c>
      <c r="M17" s="55">
        <f t="shared" si="16"/>
        <v>1.4170996693434106</v>
      </c>
      <c r="N17" s="56"/>
      <c r="O17" s="57" t="str">
        <f t="shared" si="17"/>
        <v/>
      </c>
      <c r="P17" s="57" t="str">
        <f t="shared" si="17"/>
        <v/>
      </c>
      <c r="Q17" s="57" t="str">
        <f t="shared" si="17"/>
        <v/>
      </c>
      <c r="R17" s="57" t="str">
        <f t="shared" si="17"/>
        <v/>
      </c>
      <c r="S17" s="57" t="str">
        <f t="shared" si="17"/>
        <v/>
      </c>
      <c r="T17" s="57" t="str">
        <f t="shared" si="17"/>
        <v/>
      </c>
      <c r="U17" s="57" t="str">
        <f t="shared" si="17"/>
        <v/>
      </c>
      <c r="W17" s="58"/>
      <c r="X17" s="9">
        <v>9</v>
      </c>
      <c r="Y17" s="273">
        <f>-IF(X17*12&lt;=CALCULATOR!$AH$7,CALCULATOR!$AI$22*12,MAX(0,(CALCULATOR!$AH$7-X16*12))*CALCULATOR!$AI$22)</f>
        <v>0</v>
      </c>
      <c r="Z17" s="273">
        <f>Z16*(1+ADMIN!$C$87)</f>
        <v>-11400.930732488549</v>
      </c>
      <c r="AA17" s="273">
        <f t="shared" si="3"/>
        <v>-11400.930732488549</v>
      </c>
      <c r="AB17" s="274">
        <f>AB16*(1-ADMIN!$C$85)</f>
        <v>70322.730789721973</v>
      </c>
      <c r="AC17" s="275">
        <f t="shared" si="4"/>
        <v>58921.800057233428</v>
      </c>
    </row>
    <row r="18" spans="1:29" x14ac:dyDescent="0.25">
      <c r="A18" s="49">
        <v>0.20833333333333301</v>
      </c>
      <c r="B18" s="50">
        <f t="shared" si="18"/>
        <v>1.4170996693434106</v>
      </c>
      <c r="C18" s="51">
        <f t="shared" si="7"/>
        <v>0</v>
      </c>
      <c r="D18" s="52">
        <f t="shared" si="8"/>
        <v>1.4170996693434106</v>
      </c>
      <c r="E18" s="51">
        <v>0</v>
      </c>
      <c r="F18" s="51">
        <f t="shared" si="9"/>
        <v>0</v>
      </c>
      <c r="G18" s="51">
        <f t="shared" si="10"/>
        <v>0</v>
      </c>
      <c r="H18" s="53">
        <f t="shared" si="11"/>
        <v>0</v>
      </c>
      <c r="I18" s="54">
        <f t="shared" si="12"/>
        <v>0</v>
      </c>
      <c r="J18" s="55">
        <f t="shared" si="13"/>
        <v>1.4170996693434106</v>
      </c>
      <c r="K18" s="53">
        <f t="shared" si="14"/>
        <v>0</v>
      </c>
      <c r="L18" s="54">
        <f t="shared" si="15"/>
        <v>0</v>
      </c>
      <c r="M18" s="55">
        <f t="shared" si="16"/>
        <v>1.4170996693434106</v>
      </c>
      <c r="N18" s="56"/>
      <c r="O18" s="57" t="str">
        <f t="shared" si="17"/>
        <v/>
      </c>
      <c r="P18" s="57" t="str">
        <f t="shared" si="17"/>
        <v/>
      </c>
      <c r="Q18" s="57" t="str">
        <f t="shared" si="17"/>
        <v/>
      </c>
      <c r="R18" s="57" t="str">
        <f t="shared" si="17"/>
        <v/>
      </c>
      <c r="S18" s="57" t="str">
        <f t="shared" si="17"/>
        <v/>
      </c>
      <c r="T18" s="57" t="str">
        <f t="shared" si="17"/>
        <v/>
      </c>
      <c r="U18" s="57" t="str">
        <f t="shared" si="17"/>
        <v/>
      </c>
      <c r="W18" s="58"/>
      <c r="X18" s="9">
        <v>10</v>
      </c>
      <c r="Y18" s="273">
        <f>-IF(X18*12&lt;=CALCULATOR!$AH$7,CALCULATOR!$AI$22*12,MAX(0,(CALCULATOR!$AH$7-X17*12))*CALCULATOR!$AI$22)</f>
        <v>0</v>
      </c>
      <c r="Z18" s="273">
        <f>Z17*(1+ADMIN!$C$87)</f>
        <v>-11742.958654463206</v>
      </c>
      <c r="AA18" s="273">
        <f t="shared" si="3"/>
        <v>-11742.958654463206</v>
      </c>
      <c r="AB18" s="274">
        <f>AB17*(1-ADMIN!$C$85)</f>
        <v>69971.117135773369</v>
      </c>
      <c r="AC18" s="275">
        <f t="shared" si="4"/>
        <v>58228.158481310165</v>
      </c>
    </row>
    <row r="19" spans="1:29" x14ac:dyDescent="0.25">
      <c r="A19" s="59">
        <v>0.25</v>
      </c>
      <c r="B19" s="60">
        <f t="shared" si="18"/>
        <v>1.4170996693434106</v>
      </c>
      <c r="C19" s="61">
        <f t="shared" si="7"/>
        <v>0</v>
      </c>
      <c r="D19" s="62">
        <f t="shared" si="8"/>
        <v>1.4170996693434106</v>
      </c>
      <c r="E19" s="61">
        <f t="array" ref="E19:E30">D55:D66</f>
        <v>0.308448</v>
      </c>
      <c r="F19" s="61">
        <f t="shared" si="9"/>
        <v>0.308448</v>
      </c>
      <c r="G19" s="61">
        <f t="shared" si="10"/>
        <v>0</v>
      </c>
      <c r="H19" s="63">
        <f t="shared" si="11"/>
        <v>0</v>
      </c>
      <c r="I19" s="64">
        <f t="shared" si="12"/>
        <v>0</v>
      </c>
      <c r="J19" s="65">
        <f t="shared" si="13"/>
        <v>1.1086516693434105</v>
      </c>
      <c r="K19" s="53">
        <f t="shared" si="14"/>
        <v>0</v>
      </c>
      <c r="L19" s="54">
        <f t="shared" si="15"/>
        <v>0</v>
      </c>
      <c r="M19" s="55">
        <f t="shared" si="16"/>
        <v>1.1086516693434105</v>
      </c>
      <c r="N19" s="56"/>
      <c r="O19" s="66" t="str">
        <f t="shared" si="17"/>
        <v/>
      </c>
      <c r="P19" s="66" t="str">
        <f t="shared" si="17"/>
        <v/>
      </c>
      <c r="Q19" s="66" t="str">
        <f t="shared" si="17"/>
        <v/>
      </c>
      <c r="R19" s="66" t="str">
        <f t="shared" si="17"/>
        <v/>
      </c>
      <c r="S19" s="66" t="str">
        <f t="shared" si="17"/>
        <v/>
      </c>
      <c r="T19" s="66" t="str">
        <f t="shared" si="17"/>
        <v/>
      </c>
      <c r="U19" s="66" t="str">
        <f t="shared" si="17"/>
        <v/>
      </c>
      <c r="W19" s="58"/>
      <c r="X19" s="9">
        <v>11</v>
      </c>
      <c r="Y19" s="273">
        <f>-IF(X19*12&lt;=CALCULATOR!$AH$7,CALCULATOR!$AI$22*12,MAX(0,(CALCULATOR!$AH$7-X18*12))*CALCULATOR!$AI$22)</f>
        <v>0</v>
      </c>
      <c r="Z19" s="273">
        <f>Z18*(1+ADMIN!$C$87)</f>
        <v>-12095.247414097103</v>
      </c>
      <c r="AA19" s="273">
        <f t="shared" si="3"/>
        <v>-12095.247414097103</v>
      </c>
      <c r="AB19" s="274">
        <f>AB18*(1-ADMIN!$C$85)</f>
        <v>69621.261550094496</v>
      </c>
      <c r="AC19" s="275">
        <f t="shared" si="4"/>
        <v>57526.014135997393</v>
      </c>
    </row>
    <row r="20" spans="1:29" x14ac:dyDescent="0.25">
      <c r="A20" s="59">
        <v>0.29166666666666702</v>
      </c>
      <c r="B20" s="60">
        <f t="shared" si="18"/>
        <v>1.4170996693434106</v>
      </c>
      <c r="C20" s="61">
        <f t="shared" si="7"/>
        <v>0</v>
      </c>
      <c r="D20" s="62">
        <f t="shared" si="8"/>
        <v>1.4170996693434106</v>
      </c>
      <c r="E20" s="61">
        <v>0.88905599999999996</v>
      </c>
      <c r="F20" s="61">
        <f t="shared" si="9"/>
        <v>0.88905599999999996</v>
      </c>
      <c r="G20" s="61">
        <f t="shared" si="10"/>
        <v>0</v>
      </c>
      <c r="H20" s="63">
        <f t="shared" si="11"/>
        <v>0</v>
      </c>
      <c r="I20" s="64">
        <f t="shared" si="12"/>
        <v>0</v>
      </c>
      <c r="J20" s="65">
        <f t="shared" si="13"/>
        <v>0.52804366934341063</v>
      </c>
      <c r="K20" s="53">
        <f t="shared" si="14"/>
        <v>0</v>
      </c>
      <c r="L20" s="54">
        <f t="shared" si="15"/>
        <v>0</v>
      </c>
      <c r="M20" s="55">
        <f t="shared" si="16"/>
        <v>0.52804366934341063</v>
      </c>
      <c r="N20" s="56"/>
      <c r="O20" s="66" t="str">
        <f t="shared" si="17"/>
        <v/>
      </c>
      <c r="P20" s="66" t="str">
        <f t="shared" si="17"/>
        <v/>
      </c>
      <c r="Q20" s="66" t="str">
        <f t="shared" si="17"/>
        <v/>
      </c>
      <c r="R20" s="66" t="str">
        <f t="shared" si="17"/>
        <v/>
      </c>
      <c r="S20" s="66" t="str">
        <f t="shared" si="17"/>
        <v/>
      </c>
      <c r="T20" s="66" t="str">
        <f t="shared" si="17"/>
        <v/>
      </c>
      <c r="U20" s="66" t="str">
        <f t="shared" si="17"/>
        <v/>
      </c>
      <c r="W20" s="58"/>
      <c r="X20" s="9">
        <v>12</v>
      </c>
      <c r="Y20" s="273">
        <f>-IF(X20*12&lt;=CALCULATOR!$AH$7,CALCULATOR!$AI$22*12,MAX(0,(CALCULATOR!$AH$7-X19*12))*CALCULATOR!$AI$22)</f>
        <v>0</v>
      </c>
      <c r="Z20" s="273">
        <f>Z19*(1+ADMIN!$C$87)</f>
        <v>-12458.104836520017</v>
      </c>
      <c r="AA20" s="273">
        <f t="shared" si="3"/>
        <v>-12458.104836520017</v>
      </c>
      <c r="AB20" s="274">
        <f>AB19*(1-ADMIN!$C$85)</f>
        <v>69273.15524234403</v>
      </c>
      <c r="AC20" s="275">
        <f t="shared" si="4"/>
        <v>56815.050405824011</v>
      </c>
    </row>
    <row r="21" spans="1:29" x14ac:dyDescent="0.25">
      <c r="A21" s="59">
        <v>0.33333333333333298</v>
      </c>
      <c r="B21" s="60">
        <f t="shared" si="18"/>
        <v>1.4170996693434106</v>
      </c>
      <c r="C21" s="61">
        <f t="shared" si="7"/>
        <v>0</v>
      </c>
      <c r="D21" s="62">
        <f t="shared" si="8"/>
        <v>1.4170996693434106</v>
      </c>
      <c r="E21" s="61">
        <v>1.415232</v>
      </c>
      <c r="F21" s="61">
        <f t="shared" si="9"/>
        <v>1.415232</v>
      </c>
      <c r="G21" s="61">
        <f t="shared" si="10"/>
        <v>0</v>
      </c>
      <c r="H21" s="63">
        <f t="shared" si="11"/>
        <v>0</v>
      </c>
      <c r="I21" s="64">
        <f t="shared" si="12"/>
        <v>0</v>
      </c>
      <c r="J21" s="65">
        <f t="shared" si="13"/>
        <v>1.8676693434105385E-3</v>
      </c>
      <c r="K21" s="53">
        <f t="shared" si="14"/>
        <v>0</v>
      </c>
      <c r="L21" s="54">
        <f t="shared" si="15"/>
        <v>0</v>
      </c>
      <c r="M21" s="55">
        <f t="shared" si="16"/>
        <v>1.8676693434105385E-3</v>
      </c>
      <c r="N21" s="56"/>
      <c r="O21" s="66" t="str">
        <f t="shared" si="17"/>
        <v/>
      </c>
      <c r="P21" s="66" t="str">
        <f t="shared" si="17"/>
        <v/>
      </c>
      <c r="Q21" s="66" t="str">
        <f t="shared" si="17"/>
        <v/>
      </c>
      <c r="R21" s="66" t="str">
        <f t="shared" si="17"/>
        <v/>
      </c>
      <c r="S21" s="66" t="str">
        <f t="shared" si="17"/>
        <v/>
      </c>
      <c r="T21" s="66" t="str">
        <f t="shared" si="17"/>
        <v/>
      </c>
      <c r="U21" s="66" t="str">
        <f t="shared" si="17"/>
        <v/>
      </c>
      <c r="W21" s="58"/>
      <c r="X21" s="9">
        <v>13</v>
      </c>
      <c r="Y21" s="273">
        <f>-IF(X21*12&lt;=CALCULATOR!$AH$7,CALCULATOR!$AI$22*12,MAX(0,(CALCULATOR!$AH$7-X20*12))*CALCULATOR!$AI$22)</f>
        <v>0</v>
      </c>
      <c r="Z21" s="273">
        <f>Z20*(1+ADMIN!$C$87)</f>
        <v>-12831.847981615618</v>
      </c>
      <c r="AA21" s="273">
        <f t="shared" si="3"/>
        <v>-12831.847981615618</v>
      </c>
      <c r="AB21" s="274">
        <f>AB20*(1-ADMIN!$C$85)</f>
        <v>68926.789466132308</v>
      </c>
      <c r="AC21" s="275">
        <f t="shared" si="4"/>
        <v>56094.94148451669</v>
      </c>
    </row>
    <row r="22" spans="1:29" x14ac:dyDescent="0.25">
      <c r="A22" s="59">
        <v>0.375</v>
      </c>
      <c r="B22" s="60">
        <f t="shared" si="18"/>
        <v>1.4170996693434106</v>
      </c>
      <c r="C22" s="61">
        <f t="shared" si="7"/>
        <v>0</v>
      </c>
      <c r="D22" s="62">
        <f t="shared" si="8"/>
        <v>1.4170996693434106</v>
      </c>
      <c r="E22" s="61">
        <v>1.8688319999999998</v>
      </c>
      <c r="F22" s="61">
        <f t="shared" si="9"/>
        <v>1.4170996693434106</v>
      </c>
      <c r="G22" s="61">
        <f t="shared" si="10"/>
        <v>0.45173233065658924</v>
      </c>
      <c r="H22" s="63">
        <f t="shared" si="11"/>
        <v>0</v>
      </c>
      <c r="I22" s="64">
        <f t="shared" si="12"/>
        <v>0</v>
      </c>
      <c r="J22" s="65">
        <f t="shared" si="13"/>
        <v>0</v>
      </c>
      <c r="K22" s="53">
        <f t="shared" si="14"/>
        <v>0</v>
      </c>
      <c r="L22" s="54">
        <f t="shared" si="15"/>
        <v>0</v>
      </c>
      <c r="M22" s="55">
        <f t="shared" si="16"/>
        <v>0</v>
      </c>
      <c r="N22" s="56"/>
      <c r="O22" s="66" t="str">
        <f t="shared" si="17"/>
        <v/>
      </c>
      <c r="P22" s="66" t="str">
        <f t="shared" si="17"/>
        <v/>
      </c>
      <c r="Q22" s="66" t="str">
        <f t="shared" si="17"/>
        <v/>
      </c>
      <c r="R22" s="66" t="str">
        <f t="shared" si="17"/>
        <v/>
      </c>
      <c r="S22" s="66" t="str">
        <f t="shared" si="17"/>
        <v/>
      </c>
      <c r="T22" s="66" t="str">
        <f t="shared" si="17"/>
        <v/>
      </c>
      <c r="U22" s="66" t="str">
        <f t="shared" si="17"/>
        <v/>
      </c>
      <c r="W22" s="58"/>
      <c r="X22" s="9">
        <v>14</v>
      </c>
      <c r="Y22" s="273">
        <f>-IF(X22*12&lt;=CALCULATOR!$AH$7,CALCULATOR!$AI$22*12,MAX(0,(CALCULATOR!$AH$7-X21*12))*CALCULATOR!$AI$22)</f>
        <v>0</v>
      </c>
      <c r="Z22" s="273">
        <f>Z21*(1+ADMIN!$C$87)</f>
        <v>-13216.803421064087</v>
      </c>
      <c r="AA22" s="273">
        <f t="shared" si="3"/>
        <v>-13216.803421064087</v>
      </c>
      <c r="AB22" s="274">
        <f>AB21*(1-ADMIN!$C$85)</f>
        <v>68582.15551880165</v>
      </c>
      <c r="AC22" s="275">
        <f t="shared" si="4"/>
        <v>55365.352097737559</v>
      </c>
    </row>
    <row r="23" spans="1:29" x14ac:dyDescent="0.25">
      <c r="A23" s="59">
        <v>0.41666666666666702</v>
      </c>
      <c r="B23" s="60">
        <f t="shared" si="18"/>
        <v>1.4170996693434106</v>
      </c>
      <c r="C23" s="61">
        <f t="shared" si="7"/>
        <v>0</v>
      </c>
      <c r="D23" s="62">
        <f t="shared" si="8"/>
        <v>1.4170996693434106</v>
      </c>
      <c r="E23" s="61">
        <v>2.195424</v>
      </c>
      <c r="F23" s="61">
        <f t="shared" si="9"/>
        <v>1.4170996693434106</v>
      </c>
      <c r="G23" s="61">
        <f t="shared" si="10"/>
        <v>0.77832433065658946</v>
      </c>
      <c r="H23" s="63">
        <f t="shared" si="11"/>
        <v>0</v>
      </c>
      <c r="I23" s="64">
        <f t="shared" si="12"/>
        <v>0</v>
      </c>
      <c r="J23" s="65">
        <f t="shared" si="13"/>
        <v>0</v>
      </c>
      <c r="K23" s="53">
        <f t="shared" si="14"/>
        <v>0</v>
      </c>
      <c r="L23" s="54">
        <f t="shared" si="15"/>
        <v>0</v>
      </c>
      <c r="M23" s="55">
        <f t="shared" si="16"/>
        <v>0</v>
      </c>
      <c r="N23" s="56"/>
      <c r="O23" s="66" t="str">
        <f t="shared" si="17"/>
        <v/>
      </c>
      <c r="P23" s="66" t="str">
        <f t="shared" si="17"/>
        <v/>
      </c>
      <c r="Q23" s="66" t="str">
        <f t="shared" si="17"/>
        <v/>
      </c>
      <c r="R23" s="66" t="str">
        <f t="shared" si="17"/>
        <v/>
      </c>
      <c r="S23" s="66" t="str">
        <f t="shared" si="17"/>
        <v/>
      </c>
      <c r="T23" s="66" t="str">
        <f t="shared" si="17"/>
        <v/>
      </c>
      <c r="U23" s="66" t="str">
        <f t="shared" si="17"/>
        <v/>
      </c>
      <c r="W23" s="58"/>
      <c r="X23" s="9">
        <v>15</v>
      </c>
      <c r="Y23" s="273">
        <f>-IF(X23*12&lt;=CALCULATOR!$AH$7,CALCULATOR!$AI$22*12,MAX(0,(CALCULATOR!$AH$7-X22*12))*CALCULATOR!$AI$22)</f>
        <v>0</v>
      </c>
      <c r="Z23" s="273">
        <f>Z22*(1+ADMIN!$C$87)</f>
        <v>-13613.30752369601</v>
      </c>
      <c r="AA23" s="273">
        <f t="shared" si="3"/>
        <v>-13613.30752369601</v>
      </c>
      <c r="AB23" s="274">
        <f>AB22*(1-ADMIN!$C$85)</f>
        <v>68239.244741207644</v>
      </c>
      <c r="AC23" s="275">
        <f t="shared" si="4"/>
        <v>54625.93721751163</v>
      </c>
    </row>
    <row r="24" spans="1:29" x14ac:dyDescent="0.25">
      <c r="A24" s="59">
        <v>0.45833333333333298</v>
      </c>
      <c r="B24" s="60">
        <f t="shared" si="18"/>
        <v>1.4170996693434106</v>
      </c>
      <c r="C24" s="61">
        <f t="shared" si="7"/>
        <v>0</v>
      </c>
      <c r="D24" s="62">
        <f t="shared" si="8"/>
        <v>1.4170996693434106</v>
      </c>
      <c r="E24" s="61">
        <v>2.3950080000000002</v>
      </c>
      <c r="F24" s="61">
        <f t="shared" si="9"/>
        <v>1.4170996693434106</v>
      </c>
      <c r="G24" s="61">
        <f t="shared" si="10"/>
        <v>0.97790833065658966</v>
      </c>
      <c r="H24" s="63">
        <f t="shared" si="11"/>
        <v>0</v>
      </c>
      <c r="I24" s="64">
        <f t="shared" si="12"/>
        <v>0</v>
      </c>
      <c r="J24" s="65">
        <f t="shared" si="13"/>
        <v>0</v>
      </c>
      <c r="K24" s="53">
        <f t="shared" si="14"/>
        <v>0</v>
      </c>
      <c r="L24" s="54">
        <f t="shared" si="15"/>
        <v>0</v>
      </c>
      <c r="M24" s="55">
        <f t="shared" si="16"/>
        <v>0</v>
      </c>
      <c r="N24" s="56"/>
      <c r="O24" s="66" t="str">
        <f t="shared" si="17"/>
        <v/>
      </c>
      <c r="P24" s="66" t="str">
        <f t="shared" si="17"/>
        <v/>
      </c>
      <c r="Q24" s="66" t="str">
        <f t="shared" si="17"/>
        <v/>
      </c>
      <c r="R24" s="66" t="str">
        <f t="shared" si="17"/>
        <v/>
      </c>
      <c r="S24" s="66" t="str">
        <f t="shared" si="17"/>
        <v/>
      </c>
      <c r="T24" s="66" t="str">
        <f t="shared" si="17"/>
        <v/>
      </c>
      <c r="U24" s="66" t="str">
        <f t="shared" si="17"/>
        <v/>
      </c>
      <c r="W24" s="58"/>
      <c r="X24" s="9">
        <v>16</v>
      </c>
      <c r="Y24" s="273">
        <f>-IF(X24*12&lt;=CALCULATOR!$AH$7,CALCULATOR!$AI$22*12,MAX(0,(CALCULATOR!$AH$7-X23*12))*CALCULATOR!$AI$22)</f>
        <v>0</v>
      </c>
      <c r="Z24" s="273">
        <f>Z23*(1+ADMIN!$C$87)</f>
        <v>-14021.706749406891</v>
      </c>
      <c r="AA24" s="273">
        <f t="shared" si="3"/>
        <v>-14021.706749406891</v>
      </c>
      <c r="AB24" s="274">
        <f>AB23*(1-ADMIN!$C$85)</f>
        <v>67898.048517501607</v>
      </c>
      <c r="AC24" s="275">
        <f t="shared" si="4"/>
        <v>53876.341768094717</v>
      </c>
    </row>
    <row r="25" spans="1:29" x14ac:dyDescent="0.25">
      <c r="A25" s="59">
        <v>0.5</v>
      </c>
      <c r="B25" s="60">
        <f t="shared" si="18"/>
        <v>1.4170996693434106</v>
      </c>
      <c r="C25" s="61">
        <f t="shared" si="7"/>
        <v>0</v>
      </c>
      <c r="D25" s="62">
        <f t="shared" si="8"/>
        <v>1.4170996693434106</v>
      </c>
      <c r="E25" s="61">
        <v>2.3950080000000002</v>
      </c>
      <c r="F25" s="61">
        <f t="shared" si="9"/>
        <v>1.4170996693434106</v>
      </c>
      <c r="G25" s="61">
        <f t="shared" si="10"/>
        <v>0.97790833065658966</v>
      </c>
      <c r="H25" s="63">
        <f t="shared" si="11"/>
        <v>0</v>
      </c>
      <c r="I25" s="64">
        <f t="shared" si="12"/>
        <v>0</v>
      </c>
      <c r="J25" s="65">
        <f t="shared" si="13"/>
        <v>0</v>
      </c>
      <c r="K25" s="53">
        <f t="shared" si="14"/>
        <v>0</v>
      </c>
      <c r="L25" s="54">
        <f t="shared" si="15"/>
        <v>0</v>
      </c>
      <c r="M25" s="55">
        <f t="shared" si="16"/>
        <v>0</v>
      </c>
      <c r="N25" s="56"/>
      <c r="O25" s="66" t="str">
        <f t="shared" si="17"/>
        <v/>
      </c>
      <c r="P25" s="66" t="str">
        <f t="shared" si="17"/>
        <v/>
      </c>
      <c r="Q25" s="66" t="str">
        <f t="shared" si="17"/>
        <v/>
      </c>
      <c r="R25" s="66" t="str">
        <f t="shared" si="17"/>
        <v/>
      </c>
      <c r="S25" s="66" t="str">
        <f t="shared" si="17"/>
        <v/>
      </c>
      <c r="T25" s="66" t="str">
        <f t="shared" si="17"/>
        <v/>
      </c>
      <c r="U25" s="66" t="str">
        <f t="shared" si="17"/>
        <v/>
      </c>
      <c r="X25" s="9">
        <v>17</v>
      </c>
      <c r="Y25" s="273">
        <f>-IF(X25*12&lt;=CALCULATOR!$AH$7,CALCULATOR!$AI$22*12,MAX(0,(CALCULATOR!$AH$7-X24*12))*CALCULATOR!$AI$22)</f>
        <v>0</v>
      </c>
      <c r="Z25" s="273">
        <f>Z24*(1+ADMIN!$C$87)</f>
        <v>-14442.357951889098</v>
      </c>
      <c r="AA25" s="273">
        <f t="shared" si="3"/>
        <v>-14442.357951889098</v>
      </c>
      <c r="AB25" s="274">
        <f>AB24*(1-ADMIN!$C$85)</f>
        <v>67558.558274914103</v>
      </c>
      <c r="AC25" s="275">
        <f t="shared" si="4"/>
        <v>53116.200323025005</v>
      </c>
    </row>
    <row r="26" spans="1:29" x14ac:dyDescent="0.25">
      <c r="A26" s="59">
        <v>0.54166666666666696</v>
      </c>
      <c r="B26" s="60">
        <f t="shared" si="18"/>
        <v>1.4170996693434106</v>
      </c>
      <c r="C26" s="61">
        <f t="shared" si="7"/>
        <v>0</v>
      </c>
      <c r="D26" s="62">
        <f t="shared" si="8"/>
        <v>1.4170996693434106</v>
      </c>
      <c r="E26" s="61">
        <v>2.195424</v>
      </c>
      <c r="F26" s="61">
        <f t="shared" si="9"/>
        <v>1.4170996693434106</v>
      </c>
      <c r="G26" s="61">
        <f t="shared" si="10"/>
        <v>0.77832433065658946</v>
      </c>
      <c r="H26" s="63">
        <f t="shared" si="11"/>
        <v>0</v>
      </c>
      <c r="I26" s="64">
        <f t="shared" si="12"/>
        <v>0</v>
      </c>
      <c r="J26" s="65">
        <f t="shared" si="13"/>
        <v>0</v>
      </c>
      <c r="K26" s="53">
        <f t="shared" si="14"/>
        <v>0</v>
      </c>
      <c r="L26" s="54">
        <f t="shared" si="15"/>
        <v>0</v>
      </c>
      <c r="M26" s="55">
        <f t="shared" si="16"/>
        <v>0</v>
      </c>
      <c r="N26" s="56"/>
      <c r="O26" s="66" t="str">
        <f t="shared" si="17"/>
        <v/>
      </c>
      <c r="P26" s="66" t="str">
        <f t="shared" si="17"/>
        <v/>
      </c>
      <c r="Q26" s="66" t="str">
        <f t="shared" si="17"/>
        <v/>
      </c>
      <c r="R26" s="66" t="str">
        <f t="shared" si="17"/>
        <v/>
      </c>
      <c r="S26" s="66" t="str">
        <f t="shared" si="17"/>
        <v/>
      </c>
      <c r="T26" s="66" t="str">
        <f t="shared" si="17"/>
        <v/>
      </c>
      <c r="U26" s="66" t="str">
        <f t="shared" si="17"/>
        <v/>
      </c>
      <c r="X26" s="9">
        <v>18</v>
      </c>
      <c r="Y26" s="273">
        <f>-IF(X26*12&lt;=CALCULATOR!$AH$7,CALCULATOR!$AI$22*12,MAX(0,(CALCULATOR!$AH$7-X25*12))*CALCULATOR!$AI$22)</f>
        <v>0</v>
      </c>
      <c r="Z26" s="273">
        <f>Z25*(1+ADMIN!$C$87)</f>
        <v>-14875.628690445772</v>
      </c>
      <c r="AA26" s="273">
        <f t="shared" si="3"/>
        <v>-14875.628690445772</v>
      </c>
      <c r="AB26" s="274">
        <f>AB25*(1-ADMIN!$C$85)</f>
        <v>67220.765483539537</v>
      </c>
      <c r="AC26" s="275">
        <f t="shared" si="4"/>
        <v>52345.136793093763</v>
      </c>
    </row>
    <row r="27" spans="1:29" x14ac:dyDescent="0.25">
      <c r="A27" s="59">
        <v>0.58333333333333304</v>
      </c>
      <c r="B27" s="60">
        <f t="shared" si="18"/>
        <v>1.4170996693434106</v>
      </c>
      <c r="C27" s="61">
        <f t="shared" si="7"/>
        <v>0</v>
      </c>
      <c r="D27" s="62">
        <f t="shared" si="8"/>
        <v>1.4170996693434106</v>
      </c>
      <c r="E27" s="61">
        <v>1.8688319999999998</v>
      </c>
      <c r="F27" s="61">
        <f t="shared" si="9"/>
        <v>1.4170996693434106</v>
      </c>
      <c r="G27" s="61">
        <f t="shared" si="10"/>
        <v>0.45173233065658924</v>
      </c>
      <c r="H27" s="63">
        <f t="shared" si="11"/>
        <v>0</v>
      </c>
      <c r="I27" s="64">
        <f t="shared" si="12"/>
        <v>0</v>
      </c>
      <c r="J27" s="65">
        <f t="shared" si="13"/>
        <v>0</v>
      </c>
      <c r="K27" s="53">
        <f t="shared" si="14"/>
        <v>0</v>
      </c>
      <c r="L27" s="54">
        <f t="shared" si="15"/>
        <v>0</v>
      </c>
      <c r="M27" s="55">
        <f t="shared" si="16"/>
        <v>0</v>
      </c>
      <c r="N27" s="56"/>
      <c r="O27" s="66" t="str">
        <f t="shared" si="17"/>
        <v/>
      </c>
      <c r="P27" s="66" t="str">
        <f t="shared" si="17"/>
        <v/>
      </c>
      <c r="Q27" s="66" t="str">
        <f t="shared" si="17"/>
        <v/>
      </c>
      <c r="R27" s="66" t="str">
        <f t="shared" si="17"/>
        <v/>
      </c>
      <c r="S27" s="66" t="str">
        <f t="shared" si="17"/>
        <v/>
      </c>
      <c r="T27" s="66" t="str">
        <f t="shared" si="17"/>
        <v/>
      </c>
      <c r="U27" s="66" t="str">
        <f t="shared" si="17"/>
        <v/>
      </c>
      <c r="X27" s="9">
        <v>19</v>
      </c>
      <c r="Y27" s="273">
        <f>-IF(X27*12&lt;=CALCULATOR!$AH$7,CALCULATOR!$AI$22*12,MAX(0,(CALCULATOR!$AH$7-X26*12))*CALCULATOR!$AI$22)</f>
        <v>0</v>
      </c>
      <c r="Z27" s="273">
        <f>Z26*(1+ADMIN!$C$87)</f>
        <v>-15321.897551159145</v>
      </c>
      <c r="AA27" s="273">
        <f t="shared" si="3"/>
        <v>-15321.897551159145</v>
      </c>
      <c r="AB27" s="274">
        <f>AB26*(1-ADMIN!$C$85)</f>
        <v>66884.66165612184</v>
      </c>
      <c r="AC27" s="275">
        <f t="shared" si="4"/>
        <v>51562.764104962698</v>
      </c>
    </row>
    <row r="28" spans="1:29" x14ac:dyDescent="0.25">
      <c r="A28" s="59">
        <v>0.625</v>
      </c>
      <c r="B28" s="60">
        <f t="shared" si="18"/>
        <v>1.4170996693434106</v>
      </c>
      <c r="C28" s="61">
        <f t="shared" si="7"/>
        <v>0</v>
      </c>
      <c r="D28" s="62">
        <f t="shared" si="8"/>
        <v>1.4170996693434106</v>
      </c>
      <c r="E28" s="61">
        <v>1.415232</v>
      </c>
      <c r="F28" s="61">
        <f t="shared" si="9"/>
        <v>1.415232</v>
      </c>
      <c r="G28" s="61">
        <f t="shared" si="10"/>
        <v>0</v>
      </c>
      <c r="H28" s="63">
        <f t="shared" si="11"/>
        <v>0</v>
      </c>
      <c r="I28" s="64">
        <f t="shared" si="12"/>
        <v>0</v>
      </c>
      <c r="J28" s="65">
        <f t="shared" si="13"/>
        <v>1.8676693434105385E-3</v>
      </c>
      <c r="K28" s="53">
        <f t="shared" si="14"/>
        <v>0</v>
      </c>
      <c r="L28" s="54">
        <f t="shared" si="15"/>
        <v>0</v>
      </c>
      <c r="M28" s="55">
        <f t="shared" si="16"/>
        <v>1.8676693434105385E-3</v>
      </c>
      <c r="N28" s="56"/>
      <c r="O28" s="66" t="str">
        <f t="shared" si="17"/>
        <v/>
      </c>
      <c r="P28" s="66" t="str">
        <f t="shared" si="17"/>
        <v/>
      </c>
      <c r="Q28" s="66" t="str">
        <f t="shared" si="17"/>
        <v/>
      </c>
      <c r="R28" s="66" t="str">
        <f t="shared" si="17"/>
        <v/>
      </c>
      <c r="S28" s="66" t="str">
        <f t="shared" si="17"/>
        <v/>
      </c>
      <c r="T28" s="66" t="str">
        <f t="shared" si="17"/>
        <v/>
      </c>
      <c r="U28" s="66" t="str">
        <f t="shared" si="17"/>
        <v/>
      </c>
      <c r="X28" s="9">
        <v>20</v>
      </c>
      <c r="Y28" s="273">
        <f>-IF(X28*12&lt;=CALCULATOR!$AH$7,CALCULATOR!$AI$22*12,MAX(0,(CALCULATOR!$AH$7-X27*12))*CALCULATOR!$AI$22)</f>
        <v>0</v>
      </c>
      <c r="Z28" s="273">
        <f>Z27*(1+ADMIN!$C$87)</f>
        <v>-15781.55447769392</v>
      </c>
      <c r="AA28" s="273">
        <f t="shared" si="3"/>
        <v>-15781.55447769392</v>
      </c>
      <c r="AB28" s="274">
        <f>AB27*(1-ADMIN!$C$85)</f>
        <v>66550.238347841223</v>
      </c>
      <c r="AC28" s="275">
        <f t="shared" si="4"/>
        <v>50768.683870147303</v>
      </c>
    </row>
    <row r="29" spans="1:29" x14ac:dyDescent="0.25">
      <c r="A29" s="59">
        <v>0.66666666666666696</v>
      </c>
      <c r="B29" s="60">
        <f t="shared" si="18"/>
        <v>1.4170996693434106</v>
      </c>
      <c r="C29" s="61">
        <f t="shared" si="7"/>
        <v>0</v>
      </c>
      <c r="D29" s="62">
        <f t="shared" si="8"/>
        <v>1.4170996693434106</v>
      </c>
      <c r="E29" s="61">
        <v>0.88905599999999996</v>
      </c>
      <c r="F29" s="61">
        <f t="shared" si="9"/>
        <v>0.88905599999999996</v>
      </c>
      <c r="G29" s="61">
        <f t="shared" si="10"/>
        <v>0</v>
      </c>
      <c r="H29" s="63">
        <f t="shared" si="11"/>
        <v>0</v>
      </c>
      <c r="I29" s="64">
        <f t="shared" si="12"/>
        <v>0</v>
      </c>
      <c r="J29" s="65">
        <f t="shared" si="13"/>
        <v>0.52804366934341063</v>
      </c>
      <c r="K29" s="53">
        <f t="shared" si="14"/>
        <v>0</v>
      </c>
      <c r="L29" s="54">
        <f t="shared" si="15"/>
        <v>0</v>
      </c>
      <c r="M29" s="55">
        <f t="shared" si="16"/>
        <v>0.52804366934341063</v>
      </c>
      <c r="N29" s="56"/>
      <c r="O29" s="66" t="str">
        <f t="shared" ref="O29:U36" si="19">IF(OR(O$2="",O$3=""),"",IF(O$2=O$3,1,IF(O$3&gt;O$2,IF(AND($A29&gt;=O$2,$A29&lt;O$3),1,0),IF(OR($A29&gt;=O$2,$A29&lt;O$3),1,0)))*O$11)</f>
        <v/>
      </c>
      <c r="P29" s="66" t="str">
        <f t="shared" si="19"/>
        <v/>
      </c>
      <c r="Q29" s="66" t="str">
        <f t="shared" si="19"/>
        <v/>
      </c>
      <c r="R29" s="66" t="str">
        <f t="shared" si="19"/>
        <v/>
      </c>
      <c r="S29" s="66" t="str">
        <f t="shared" si="19"/>
        <v/>
      </c>
      <c r="T29" s="66" t="str">
        <f t="shared" si="19"/>
        <v/>
      </c>
      <c r="U29" s="66" t="str">
        <f t="shared" si="19"/>
        <v/>
      </c>
      <c r="X29" s="9">
        <v>21</v>
      </c>
      <c r="Y29" s="273">
        <f>-IF(X29*12&lt;=CALCULATOR!$AH$7,CALCULATOR!$AI$22*12,MAX(0,(CALCULATOR!$AH$7-X28*12))*CALCULATOR!$AI$22)</f>
        <v>0</v>
      </c>
      <c r="Z29" s="273">
        <f>Z28*(1+ADMIN!$C$87)</f>
        <v>-16255.001112024738</v>
      </c>
      <c r="AA29" s="273">
        <f t="shared" si="3"/>
        <v>-16255.001112024738</v>
      </c>
      <c r="AB29" s="274">
        <f>AB28*(1-ADMIN!$C$85)</f>
        <v>66217.487156102012</v>
      </c>
      <c r="AC29" s="275">
        <f t="shared" si="4"/>
        <v>49962.486044077275</v>
      </c>
    </row>
    <row r="30" spans="1:29" x14ac:dyDescent="0.25">
      <c r="A30" s="59">
        <v>0.70833333333333304</v>
      </c>
      <c r="B30" s="60">
        <f t="shared" si="18"/>
        <v>1.4170996693434106</v>
      </c>
      <c r="C30" s="61">
        <f t="shared" si="7"/>
        <v>0</v>
      </c>
      <c r="D30" s="62">
        <f t="shared" si="8"/>
        <v>1.4170996693434106</v>
      </c>
      <c r="E30" s="61">
        <v>0.308448</v>
      </c>
      <c r="F30" s="61">
        <f t="shared" si="9"/>
        <v>0.308448</v>
      </c>
      <c r="G30" s="61">
        <f t="shared" si="10"/>
        <v>0</v>
      </c>
      <c r="H30" s="63">
        <f t="shared" si="11"/>
        <v>0</v>
      </c>
      <c r="I30" s="64">
        <f t="shared" si="12"/>
        <v>0</v>
      </c>
      <c r="J30" s="65">
        <f t="shared" si="13"/>
        <v>1.1086516693434105</v>
      </c>
      <c r="K30" s="53">
        <f t="shared" si="14"/>
        <v>0</v>
      </c>
      <c r="L30" s="54">
        <f t="shared" si="15"/>
        <v>0</v>
      </c>
      <c r="M30" s="55">
        <f t="shared" si="16"/>
        <v>1.1086516693434105</v>
      </c>
      <c r="N30" s="56"/>
      <c r="O30" s="66" t="str">
        <f t="shared" si="19"/>
        <v/>
      </c>
      <c r="P30" s="66" t="str">
        <f t="shared" si="19"/>
        <v/>
      </c>
      <c r="Q30" s="66" t="str">
        <f t="shared" si="19"/>
        <v/>
      </c>
      <c r="R30" s="66" t="str">
        <f t="shared" si="19"/>
        <v/>
      </c>
      <c r="S30" s="66" t="str">
        <f t="shared" si="19"/>
        <v/>
      </c>
      <c r="T30" s="66" t="str">
        <f t="shared" si="19"/>
        <v/>
      </c>
      <c r="U30" s="66" t="str">
        <f t="shared" si="19"/>
        <v/>
      </c>
      <c r="X30" s="9">
        <v>22</v>
      </c>
      <c r="Y30" s="273">
        <f>-IF(X30*12&lt;=CALCULATOR!$AH$7,CALCULATOR!$AI$22*12,MAX(0,(CALCULATOR!$AH$7-X29*12))*CALCULATOR!$AI$22)</f>
        <v>0</v>
      </c>
      <c r="Z30" s="273">
        <f>Z29*(1+ADMIN!$C$87)</f>
        <v>-16742.65114538548</v>
      </c>
      <c r="AA30" s="273">
        <f t="shared" si="3"/>
        <v>-16742.65114538548</v>
      </c>
      <c r="AB30" s="274">
        <f>AB29*(1-ADMIN!$C$85)</f>
        <v>65886.399720321497</v>
      </c>
      <c r="AC30" s="275">
        <f t="shared" si="4"/>
        <v>49143.74857493602</v>
      </c>
    </row>
    <row r="31" spans="1:29" x14ac:dyDescent="0.25">
      <c r="A31" s="49">
        <v>0.75</v>
      </c>
      <c r="B31" s="50">
        <f t="shared" si="18"/>
        <v>1.4170996693434106</v>
      </c>
      <c r="C31" s="51">
        <f t="shared" si="7"/>
        <v>0</v>
      </c>
      <c r="D31" s="52">
        <f t="shared" si="8"/>
        <v>1.4170996693434106</v>
      </c>
      <c r="E31" s="51">
        <v>0</v>
      </c>
      <c r="F31" s="51">
        <f t="shared" si="9"/>
        <v>0</v>
      </c>
      <c r="G31" s="51">
        <f t="shared" si="10"/>
        <v>0</v>
      </c>
      <c r="H31" s="53">
        <f t="shared" si="11"/>
        <v>0</v>
      </c>
      <c r="I31" s="54">
        <f t="shared" si="12"/>
        <v>0</v>
      </c>
      <c r="J31" s="55">
        <f t="shared" si="13"/>
        <v>1.4170996693434106</v>
      </c>
      <c r="K31" s="53">
        <f t="shared" si="14"/>
        <v>0</v>
      </c>
      <c r="L31" s="54">
        <f t="shared" si="15"/>
        <v>0</v>
      </c>
      <c r="M31" s="55">
        <f t="shared" si="16"/>
        <v>1.4170996693434106</v>
      </c>
      <c r="N31" s="56"/>
      <c r="O31" s="57" t="str">
        <f t="shared" si="19"/>
        <v/>
      </c>
      <c r="P31" s="57" t="str">
        <f t="shared" si="19"/>
        <v/>
      </c>
      <c r="Q31" s="57" t="str">
        <f t="shared" si="19"/>
        <v/>
      </c>
      <c r="R31" s="57" t="str">
        <f t="shared" si="19"/>
        <v/>
      </c>
      <c r="S31" s="57" t="str">
        <f t="shared" si="19"/>
        <v/>
      </c>
      <c r="T31" s="57" t="str">
        <f t="shared" si="19"/>
        <v/>
      </c>
      <c r="U31" s="57" t="str">
        <f t="shared" si="19"/>
        <v/>
      </c>
      <c r="X31" s="9">
        <v>23</v>
      </c>
      <c r="Y31" s="273">
        <f>-IF(X31*12&lt;=CALCULATOR!$AH$7,CALCULATOR!$AI$22*12,MAX(0,(CALCULATOR!$AH$7-X30*12))*CALCULATOR!$AI$22)</f>
        <v>0</v>
      </c>
      <c r="Z31" s="273">
        <f>Z30*(1+ADMIN!$C$87)</f>
        <v>-17244.930679747045</v>
      </c>
      <c r="AA31" s="273">
        <f t="shared" si="3"/>
        <v>-17244.930679747045</v>
      </c>
      <c r="AB31" s="274">
        <f>AB30*(1-ADMIN!$C$85)</f>
        <v>65556.967721719891</v>
      </c>
      <c r="AC31" s="275">
        <f t="shared" si="4"/>
        <v>48312.037041972842</v>
      </c>
    </row>
    <row r="32" spans="1:29" x14ac:dyDescent="0.25">
      <c r="A32" s="49">
        <v>0.79166666666666696</v>
      </c>
      <c r="B32" s="50">
        <f t="shared" si="18"/>
        <v>1.4170996693434106</v>
      </c>
      <c r="C32" s="51">
        <f t="shared" si="7"/>
        <v>0</v>
      </c>
      <c r="D32" s="52">
        <f t="shared" si="8"/>
        <v>1.4170996693434106</v>
      </c>
      <c r="E32" s="51">
        <v>0</v>
      </c>
      <c r="F32" s="51">
        <f t="shared" si="9"/>
        <v>0</v>
      </c>
      <c r="G32" s="51">
        <f t="shared" si="10"/>
        <v>0</v>
      </c>
      <c r="H32" s="53">
        <f t="shared" si="11"/>
        <v>0</v>
      </c>
      <c r="I32" s="54">
        <f t="shared" si="12"/>
        <v>0</v>
      </c>
      <c r="J32" s="55">
        <f t="shared" si="13"/>
        <v>1.4170996693434106</v>
      </c>
      <c r="K32" s="53">
        <f t="shared" si="14"/>
        <v>0</v>
      </c>
      <c r="L32" s="54">
        <f t="shared" si="15"/>
        <v>0</v>
      </c>
      <c r="M32" s="55">
        <f t="shared" si="16"/>
        <v>1.4170996693434106</v>
      </c>
      <c r="N32" s="56"/>
      <c r="O32" s="57" t="str">
        <f t="shared" si="19"/>
        <v/>
      </c>
      <c r="P32" s="57" t="str">
        <f t="shared" si="19"/>
        <v/>
      </c>
      <c r="Q32" s="57" t="str">
        <f t="shared" si="19"/>
        <v/>
      </c>
      <c r="R32" s="57" t="str">
        <f t="shared" si="19"/>
        <v/>
      </c>
      <c r="S32" s="57" t="str">
        <f t="shared" si="19"/>
        <v/>
      </c>
      <c r="T32" s="57" t="str">
        <f t="shared" si="19"/>
        <v/>
      </c>
      <c r="U32" s="57" t="str">
        <f t="shared" si="19"/>
        <v/>
      </c>
      <c r="X32" s="9">
        <v>24</v>
      </c>
      <c r="Y32" s="273">
        <f>-IF(X32*12&lt;=CALCULATOR!$AH$7,CALCULATOR!$AI$22*12,MAX(0,(CALCULATOR!$AH$7-X31*12))*CALCULATOR!$AI$22)</f>
        <v>0</v>
      </c>
      <c r="Z32" s="273">
        <f>Z31*(1+ADMIN!$C$87)</f>
        <v>-17762.278600139456</v>
      </c>
      <c r="AA32" s="273">
        <f t="shared" si="3"/>
        <v>-17762.278600139456</v>
      </c>
      <c r="AB32" s="274">
        <f>AB31*(1-ADMIN!$C$85)</f>
        <v>65229.182883111294</v>
      </c>
      <c r="AC32" s="275">
        <f t="shared" si="4"/>
        <v>47466.904282971838</v>
      </c>
    </row>
    <row r="33" spans="1:29" x14ac:dyDescent="0.25">
      <c r="A33" s="49">
        <v>0.83333333333333304</v>
      </c>
      <c r="B33" s="50">
        <f t="shared" si="18"/>
        <v>1.4170996693434106</v>
      </c>
      <c r="C33" s="51">
        <f t="shared" si="7"/>
        <v>0</v>
      </c>
      <c r="D33" s="52">
        <f t="shared" si="8"/>
        <v>1.4170996693434106</v>
      </c>
      <c r="E33" s="51">
        <v>0</v>
      </c>
      <c r="F33" s="51">
        <f t="shared" si="9"/>
        <v>0</v>
      </c>
      <c r="G33" s="51">
        <f t="shared" si="10"/>
        <v>0</v>
      </c>
      <c r="H33" s="53">
        <f t="shared" si="11"/>
        <v>0</v>
      </c>
      <c r="I33" s="54">
        <f t="shared" si="12"/>
        <v>0</v>
      </c>
      <c r="J33" s="55">
        <f t="shared" si="13"/>
        <v>1.4170996693434106</v>
      </c>
      <c r="K33" s="53">
        <f t="shared" si="14"/>
        <v>0</v>
      </c>
      <c r="L33" s="54">
        <f t="shared" si="15"/>
        <v>0</v>
      </c>
      <c r="M33" s="55">
        <f t="shared" si="16"/>
        <v>1.4170996693434106</v>
      </c>
      <c r="N33" s="56"/>
      <c r="O33" s="57" t="str">
        <f t="shared" si="19"/>
        <v/>
      </c>
      <c r="P33" s="57" t="str">
        <f t="shared" si="19"/>
        <v/>
      </c>
      <c r="Q33" s="57" t="str">
        <f t="shared" si="19"/>
        <v/>
      </c>
      <c r="R33" s="57" t="str">
        <f t="shared" si="19"/>
        <v/>
      </c>
      <c r="S33" s="57" t="str">
        <f t="shared" si="19"/>
        <v/>
      </c>
      <c r="T33" s="57" t="str">
        <f t="shared" si="19"/>
        <v/>
      </c>
      <c r="U33" s="57" t="str">
        <f t="shared" si="19"/>
        <v/>
      </c>
      <c r="X33" s="9">
        <v>25</v>
      </c>
      <c r="Y33" s="273">
        <f>-IF(X33*12&lt;=CALCULATOR!$AH$7,CALCULATOR!$AI$22*12,MAX(0,(CALCULATOR!$AH$7-X32*12))*CALCULATOR!$AI$22)</f>
        <v>0</v>
      </c>
      <c r="Z33" s="273">
        <f>Z32*(1+ADMIN!$C$87)</f>
        <v>-18295.146958143639</v>
      </c>
      <c r="AA33" s="273">
        <f t="shared" si="3"/>
        <v>-18295.146958143639</v>
      </c>
      <c r="AB33" s="274">
        <f>AB32*(1-ADMIN!$C$85)</f>
        <v>64903.036968695735</v>
      </c>
      <c r="AC33" s="275">
        <f t="shared" si="4"/>
        <v>46607.890010552095</v>
      </c>
    </row>
    <row r="34" spans="1:29" x14ac:dyDescent="0.25">
      <c r="A34" s="49">
        <v>0.875</v>
      </c>
      <c r="B34" s="50">
        <f t="shared" si="18"/>
        <v>1.4170996693434106</v>
      </c>
      <c r="C34" s="51">
        <f t="shared" si="7"/>
        <v>0</v>
      </c>
      <c r="D34" s="52">
        <f t="shared" si="8"/>
        <v>1.4170996693434106</v>
      </c>
      <c r="E34" s="51">
        <v>0</v>
      </c>
      <c r="F34" s="51">
        <f t="shared" si="9"/>
        <v>0</v>
      </c>
      <c r="G34" s="51">
        <f t="shared" si="10"/>
        <v>0</v>
      </c>
      <c r="H34" s="53">
        <f t="shared" si="11"/>
        <v>0</v>
      </c>
      <c r="I34" s="54">
        <f t="shared" si="12"/>
        <v>0</v>
      </c>
      <c r="J34" s="55">
        <f t="shared" si="13"/>
        <v>1.4170996693434106</v>
      </c>
      <c r="K34" s="53">
        <f t="shared" si="14"/>
        <v>0</v>
      </c>
      <c r="L34" s="54">
        <f t="shared" si="15"/>
        <v>0</v>
      </c>
      <c r="M34" s="55">
        <f t="shared" si="16"/>
        <v>1.4170996693434106</v>
      </c>
      <c r="N34" s="56"/>
      <c r="O34" s="57" t="str">
        <f t="shared" si="19"/>
        <v/>
      </c>
      <c r="P34" s="57" t="str">
        <f t="shared" si="19"/>
        <v/>
      </c>
      <c r="Q34" s="57" t="str">
        <f t="shared" si="19"/>
        <v/>
      </c>
      <c r="R34" s="57" t="str">
        <f t="shared" si="19"/>
        <v/>
      </c>
      <c r="S34" s="57" t="str">
        <f t="shared" si="19"/>
        <v/>
      </c>
      <c r="T34" s="57" t="str">
        <f t="shared" si="19"/>
        <v/>
      </c>
      <c r="U34" s="57" t="str">
        <f t="shared" si="19"/>
        <v/>
      </c>
      <c r="X34" s="9">
        <v>26</v>
      </c>
      <c r="Y34" s="273">
        <f>-IF(X34*12&lt;=CALCULATOR!$AH$7,CALCULATOR!$AI$22*12,MAX(0,(CALCULATOR!$AH$7-X33*12))*CALCULATOR!$AI$22)</f>
        <v>0</v>
      </c>
      <c r="Z34" s="273">
        <f>Z33*(1+ADMIN!$C$87)</f>
        <v>-18844.001366887947</v>
      </c>
      <c r="AA34" s="273">
        <f t="shared" si="3"/>
        <v>-18844.001366887947</v>
      </c>
      <c r="AB34" s="274">
        <f>AB33*(1-ADMIN!$C$85)</f>
        <v>64578.521783852259</v>
      </c>
      <c r="AC34" s="275">
        <f t="shared" si="4"/>
        <v>45734.520416964311</v>
      </c>
    </row>
    <row r="35" spans="1:29" x14ac:dyDescent="0.25">
      <c r="A35" s="49">
        <v>0.91666666666666696</v>
      </c>
      <c r="B35" s="50">
        <f t="shared" si="18"/>
        <v>1.4170996693434106</v>
      </c>
      <c r="C35" s="51">
        <f t="shared" si="7"/>
        <v>0</v>
      </c>
      <c r="D35" s="52">
        <f t="shared" si="8"/>
        <v>1.4170996693434106</v>
      </c>
      <c r="E35" s="51">
        <v>0</v>
      </c>
      <c r="F35" s="51">
        <f t="shared" si="9"/>
        <v>0</v>
      </c>
      <c r="G35" s="51">
        <f t="shared" si="10"/>
        <v>0</v>
      </c>
      <c r="H35" s="53">
        <f t="shared" si="11"/>
        <v>0</v>
      </c>
      <c r="I35" s="54">
        <f t="shared" si="12"/>
        <v>0</v>
      </c>
      <c r="J35" s="55">
        <f t="shared" si="13"/>
        <v>1.4170996693434106</v>
      </c>
      <c r="K35" s="53">
        <f t="shared" si="14"/>
        <v>0</v>
      </c>
      <c r="L35" s="54">
        <f t="shared" si="15"/>
        <v>0</v>
      </c>
      <c r="M35" s="55">
        <f t="shared" si="16"/>
        <v>1.4170996693434106</v>
      </c>
      <c r="N35" s="56"/>
      <c r="O35" s="57" t="str">
        <f t="shared" si="19"/>
        <v/>
      </c>
      <c r="P35" s="57" t="str">
        <f t="shared" si="19"/>
        <v/>
      </c>
      <c r="Q35" s="57" t="str">
        <f t="shared" si="19"/>
        <v/>
      </c>
      <c r="R35" s="57" t="str">
        <f t="shared" si="19"/>
        <v/>
      </c>
      <c r="S35" s="57" t="str">
        <f t="shared" si="19"/>
        <v/>
      </c>
      <c r="T35" s="57" t="str">
        <f t="shared" si="19"/>
        <v/>
      </c>
      <c r="U35" s="57" t="str">
        <f t="shared" si="19"/>
        <v/>
      </c>
      <c r="X35" s="9">
        <v>27</v>
      </c>
      <c r="Y35" s="273">
        <f>-IF(X35*12&lt;=CALCULATOR!$AH$7,CALCULATOR!$AI$22*12,MAX(0,(CALCULATOR!$AH$7-X34*12))*CALCULATOR!$AI$22)</f>
        <v>0</v>
      </c>
      <c r="Z35" s="273">
        <f>Z34*(1+ADMIN!$C$87)</f>
        <v>-19409.321407894586</v>
      </c>
      <c r="AA35" s="273">
        <f t="shared" si="3"/>
        <v>-19409.321407894586</v>
      </c>
      <c r="AB35" s="274">
        <f>AB34*(1-ADMIN!$C$85)</f>
        <v>64255.629174932998</v>
      </c>
      <c r="AC35" s="275">
        <f t="shared" si="4"/>
        <v>44846.307767038408</v>
      </c>
    </row>
    <row r="36" spans="1:29" ht="15.75" thickBot="1" x14ac:dyDescent="0.3">
      <c r="A36" s="49">
        <v>0.95833333333333304</v>
      </c>
      <c r="B36" s="50">
        <f t="shared" si="18"/>
        <v>1.4170996693434106</v>
      </c>
      <c r="C36" s="51">
        <f t="shared" si="7"/>
        <v>0</v>
      </c>
      <c r="D36" s="52">
        <f t="shared" si="8"/>
        <v>1.4170996693434106</v>
      </c>
      <c r="E36" s="51">
        <v>0</v>
      </c>
      <c r="F36" s="51">
        <f t="shared" si="9"/>
        <v>0</v>
      </c>
      <c r="G36" s="51">
        <f t="shared" si="10"/>
        <v>0</v>
      </c>
      <c r="H36" s="53">
        <f t="shared" si="11"/>
        <v>0</v>
      </c>
      <c r="I36" s="54">
        <f t="shared" si="12"/>
        <v>0</v>
      </c>
      <c r="J36" s="55">
        <f t="shared" si="13"/>
        <v>1.4170996693434106</v>
      </c>
      <c r="K36" s="53">
        <f t="shared" si="14"/>
        <v>0</v>
      </c>
      <c r="L36" s="54">
        <f t="shared" si="15"/>
        <v>0</v>
      </c>
      <c r="M36" s="55">
        <f t="shared" si="16"/>
        <v>1.4170996693434106</v>
      </c>
      <c r="N36" s="56"/>
      <c r="O36" s="57" t="str">
        <f t="shared" si="19"/>
        <v/>
      </c>
      <c r="P36" s="57" t="str">
        <f t="shared" si="19"/>
        <v/>
      </c>
      <c r="Q36" s="57" t="str">
        <f t="shared" si="19"/>
        <v/>
      </c>
      <c r="R36" s="57" t="str">
        <f t="shared" si="19"/>
        <v/>
      </c>
      <c r="S36" s="57" t="str">
        <f t="shared" si="19"/>
        <v/>
      </c>
      <c r="T36" s="57" t="str">
        <f t="shared" si="19"/>
        <v/>
      </c>
      <c r="U36" s="57" t="str">
        <f t="shared" si="19"/>
        <v/>
      </c>
      <c r="X36" s="9">
        <v>28</v>
      </c>
      <c r="Y36" s="273">
        <f>-IF(X36*12&lt;=CALCULATOR!$AH$7,CALCULATOR!$AI$22*12,MAX(0,(CALCULATOR!$AH$7-X35*12))*CALCULATOR!$AI$22)</f>
        <v>0</v>
      </c>
      <c r="Z36" s="273">
        <f>Z35*(1+ADMIN!$C$87)</f>
        <v>-19991.601050131423</v>
      </c>
      <c r="AA36" s="273">
        <f t="shared" si="3"/>
        <v>-19991.601050131423</v>
      </c>
      <c r="AB36" s="274">
        <f>AB35*(1-ADMIN!$C$85)</f>
        <v>63934.351029058329</v>
      </c>
      <c r="AC36" s="275">
        <f t="shared" si="4"/>
        <v>43942.749978926906</v>
      </c>
    </row>
    <row r="37" spans="1:29" ht="15.75" thickBot="1" x14ac:dyDescent="0.3">
      <c r="A37" s="67" t="s">
        <v>48</v>
      </c>
      <c r="B37" s="68">
        <f t="shared" ref="B37:G37" si="20">SUM(B13:B36)</f>
        <v>34.010392064241863</v>
      </c>
      <c r="C37" s="69">
        <f t="shared" si="20"/>
        <v>0</v>
      </c>
      <c r="D37" s="70">
        <f t="shared" si="20"/>
        <v>34.010392064241863</v>
      </c>
      <c r="E37" s="71">
        <f t="shared" si="20"/>
        <v>18.143999999999998</v>
      </c>
      <c r="F37" s="71">
        <f t="shared" si="20"/>
        <v>13.728070016060464</v>
      </c>
      <c r="G37" s="71">
        <f t="shared" si="20"/>
        <v>4.4159299839395363</v>
      </c>
      <c r="H37" s="72"/>
      <c r="I37" s="71">
        <f>SUM(I13:I36)</f>
        <v>0</v>
      </c>
      <c r="J37" s="73">
        <f>SUM(J13:J36)</f>
        <v>20.282322048181396</v>
      </c>
      <c r="K37" s="72"/>
      <c r="L37" s="71">
        <f>SUM(L13:L36)</f>
        <v>0</v>
      </c>
      <c r="M37" s="73">
        <f>SUM(M13:M36)</f>
        <v>20.282322048181396</v>
      </c>
      <c r="N37" s="74"/>
      <c r="X37" s="9">
        <v>29</v>
      </c>
      <c r="Y37" s="273">
        <f>-IF(X37*12&lt;=CALCULATOR!$AH$7,CALCULATOR!$AI$22*12,MAX(0,(CALCULATOR!$AH$7-X36*12))*CALCULATOR!$AI$22)</f>
        <v>0</v>
      </c>
      <c r="Z37" s="273">
        <f>Z36*(1+ADMIN!$C$87)</f>
        <v>-20591.349081635366</v>
      </c>
      <c r="AA37" s="273">
        <f t="shared" si="3"/>
        <v>-20591.349081635366</v>
      </c>
      <c r="AB37" s="274">
        <f>AB36*(1-ADMIN!$C$85)</f>
        <v>63614.67927391304</v>
      </c>
      <c r="AC37" s="275">
        <f t="shared" si="4"/>
        <v>43023.330192277674</v>
      </c>
    </row>
    <row r="38" spans="1:29" x14ac:dyDescent="0.25">
      <c r="E38" s="18"/>
      <c r="F38" s="75">
        <f>F37/E37</f>
        <v>0.75661761552361473</v>
      </c>
      <c r="G38" s="48"/>
      <c r="H38" s="75"/>
      <c r="I38" s="75">
        <f>I37/E37</f>
        <v>0</v>
      </c>
      <c r="J38" s="56"/>
      <c r="K38" s="75"/>
      <c r="L38" s="75">
        <f>L37/E37</f>
        <v>0</v>
      </c>
      <c r="M38" s="56"/>
      <c r="N38" s="56"/>
      <c r="X38" s="9">
        <v>30</v>
      </c>
      <c r="Y38" s="273">
        <f>-IF(X38*12&lt;=CALCULATOR!$AH$7,CALCULATOR!$AI$22*12,MAX(0,(CALCULATOR!$AH$7-X37*12))*CALCULATOR!$AI$22)</f>
        <v>0</v>
      </c>
      <c r="Z38" s="273">
        <f>Z37*(1+ADMIN!$C$87)</f>
        <v>-21209.089554084429</v>
      </c>
      <c r="AA38" s="273">
        <f t="shared" si="3"/>
        <v>-21209.089554084429</v>
      </c>
      <c r="AB38" s="274">
        <f>AB37*(1-ADMIN!$C$85)</f>
        <v>63296.605877543472</v>
      </c>
      <c r="AC38" s="275">
        <f t="shared" si="4"/>
        <v>42087.516323459044</v>
      </c>
    </row>
    <row r="39" spans="1:29" x14ac:dyDescent="0.25">
      <c r="A39" s="76"/>
      <c r="B39" s="77" t="s">
        <v>49</v>
      </c>
      <c r="C39" s="77" t="s">
        <v>50</v>
      </c>
      <c r="D39" s="77" t="s">
        <v>51</v>
      </c>
      <c r="E39" s="78"/>
      <c r="F39" s="75"/>
      <c r="G39" s="48"/>
      <c r="I39" s="56"/>
      <c r="J39" s="56"/>
      <c r="L39" s="56"/>
      <c r="M39" s="56"/>
      <c r="N39" s="56"/>
    </row>
    <row r="40" spans="1:29" x14ac:dyDescent="0.25">
      <c r="A40" s="78" t="s">
        <v>52</v>
      </c>
      <c r="B40" s="79">
        <f>SUM(B19:B30)*365/12</f>
        <v>517.241379310345</v>
      </c>
      <c r="C40" s="79">
        <f>SUM(C19:C30)*365/12</f>
        <v>0</v>
      </c>
      <c r="D40" s="79">
        <f>SUM(D19:D30)*365/12</f>
        <v>517.241379310345</v>
      </c>
      <c r="E40" s="80">
        <f>D40/$D$42</f>
        <v>0.5</v>
      </c>
      <c r="F40" s="75">
        <f>F37/D37</f>
        <v>0.40364339199999988</v>
      </c>
      <c r="G40" s="48" t="s">
        <v>53</v>
      </c>
      <c r="I40" s="56"/>
      <c r="J40" s="56"/>
      <c r="L40" s="56"/>
      <c r="M40" s="56"/>
      <c r="N40" s="56"/>
      <c r="X40" s="278" t="s">
        <v>63</v>
      </c>
      <c r="Y40" s="9"/>
      <c r="Z40" s="9"/>
      <c r="AA40" s="9"/>
    </row>
    <row r="41" spans="1:29" x14ac:dyDescent="0.25">
      <c r="A41" s="78" t="s">
        <v>54</v>
      </c>
      <c r="B41" s="79">
        <f>B42-B40</f>
        <v>517.241379310345</v>
      </c>
      <c r="C41" s="79">
        <f>C42-C40</f>
        <v>0</v>
      </c>
      <c r="D41" s="79">
        <f>D42-D40</f>
        <v>517.241379310345</v>
      </c>
      <c r="E41" s="80">
        <f>D41/$D$42</f>
        <v>0.5</v>
      </c>
      <c r="F41" s="186" t="str">
        <f>IFERROR(TEXT(F38,"#%")&amp;" of Solar Energy capture covers "&amp;TEXT(F40,"#%")&amp;" of energy consumption *","")</f>
        <v>76% of Solar Energy capture covers 40% of energy consumption *</v>
      </c>
      <c r="I41" s="56"/>
      <c r="J41" s="56"/>
      <c r="L41" s="56"/>
      <c r="M41" s="56"/>
      <c r="N41" s="56"/>
      <c r="X41" s="8" t="s">
        <v>64</v>
      </c>
      <c r="Z41" s="9">
        <f>CALCULATOR!AG54</f>
        <v>25</v>
      </c>
      <c r="AA41" s="9"/>
      <c r="AB41" s="9"/>
    </row>
    <row r="42" spans="1:29" x14ac:dyDescent="0.25">
      <c r="A42" s="371" t="s">
        <v>55</v>
      </c>
      <c r="B42" s="81">
        <f>B37*365/12</f>
        <v>1034.48275862069</v>
      </c>
      <c r="C42" s="81">
        <f>C37*365/12</f>
        <v>0</v>
      </c>
      <c r="D42" s="81">
        <f>D37*365/12</f>
        <v>1034.48275862069</v>
      </c>
      <c r="E42" s="80">
        <f>D42/$D$42</f>
        <v>1</v>
      </c>
      <c r="N42" s="56"/>
      <c r="X42" s="8" t="s">
        <v>65</v>
      </c>
      <c r="Z42" s="11">
        <f>ADMIN!C91</f>
        <v>0.06</v>
      </c>
      <c r="AA42" s="11"/>
      <c r="AB42" s="9"/>
    </row>
    <row r="43" spans="1:29" x14ac:dyDescent="0.25">
      <c r="A43" s="372"/>
      <c r="B43" s="84">
        <f>B42/$D$42</f>
        <v>1</v>
      </c>
      <c r="C43" s="84">
        <f>C42/$D$42</f>
        <v>0</v>
      </c>
      <c r="D43" s="84">
        <f>D42/$D$42</f>
        <v>1</v>
      </c>
      <c r="E43" s="85"/>
      <c r="H43" s="8"/>
      <c r="I43" s="82" t="s">
        <v>166</v>
      </c>
      <c r="J43" s="83">
        <f>D37-J37</f>
        <v>13.728070016060467</v>
      </c>
      <c r="N43" s="8"/>
      <c r="X43" s="8" t="s">
        <v>240</v>
      </c>
      <c r="Z43" s="91">
        <f ca="1">-(NPV(Z42,OFFSET(AA9,0,0,Z41))+AA8)</f>
        <v>522027.68706780404</v>
      </c>
      <c r="AA43" s="48" t="str">
        <f>"*Assumes annual cost inflation of "&amp;TEXT(ADMIN!C87,"#%")&amp;"."</f>
        <v>*Assumes annual cost inflation of 3%.</v>
      </c>
      <c r="AB43" s="9"/>
    </row>
    <row r="44" spans="1:29" x14ac:dyDescent="0.25">
      <c r="A44" s="184"/>
      <c r="B44" s="185"/>
      <c r="C44" s="185"/>
      <c r="D44" s="185"/>
      <c r="H44" s="8"/>
      <c r="I44" s="82" t="s">
        <v>168</v>
      </c>
      <c r="J44" s="83">
        <f>J43*365/12</f>
        <v>417.56212965517255</v>
      </c>
      <c r="K44" s="8"/>
      <c r="L44" s="8"/>
      <c r="M44" s="8"/>
      <c r="N44" s="86"/>
      <c r="X44" s="8" t="s">
        <v>66</v>
      </c>
      <c r="Z44" s="279">
        <f>PV(ADMIN!C85,Z41,-C53*ADMIN!C82*365)</f>
        <v>155270.14460260357</v>
      </c>
    </row>
    <row r="45" spans="1:29" ht="15.75" thickBot="1" x14ac:dyDescent="0.3">
      <c r="A45" s="184"/>
      <c r="B45" s="185"/>
      <c r="C45" s="185"/>
      <c r="D45" s="185"/>
      <c r="H45" s="82"/>
      <c r="I45" s="82"/>
      <c r="J45" s="86">
        <f>ROUND(J44*CALCULATOR!T10,-2)</f>
        <v>6100</v>
      </c>
      <c r="K45" s="8"/>
      <c r="L45" s="8"/>
      <c r="M45" s="8"/>
      <c r="N45" s="86"/>
      <c r="X45" s="281" t="s">
        <v>67</v>
      </c>
      <c r="Y45" s="282"/>
      <c r="Z45" s="283">
        <f ca="1">IFERROR(Z43/Z44,0)</f>
        <v>3.362060931957493</v>
      </c>
      <c r="AA45" s="92"/>
      <c r="AB45" s="9"/>
    </row>
    <row r="46" spans="1:29" x14ac:dyDescent="0.25">
      <c r="A46" s="184"/>
      <c r="B46" s="185"/>
      <c r="C46" s="185"/>
      <c r="D46" s="185"/>
      <c r="H46" s="82"/>
      <c r="I46" s="86"/>
      <c r="J46" s="86"/>
      <c r="M46" s="86"/>
      <c r="N46" s="86"/>
      <c r="AA46" s="279"/>
      <c r="AB46" s="9"/>
    </row>
    <row r="47" spans="1:29" x14ac:dyDescent="0.25">
      <c r="A47" s="184"/>
      <c r="B47" s="185"/>
      <c r="C47" s="185"/>
      <c r="D47" s="185"/>
      <c r="H47" s="82"/>
      <c r="I47" s="86"/>
      <c r="L47" s="82" t="s">
        <v>167</v>
      </c>
      <c r="M47" s="83">
        <f>D37-M37</f>
        <v>13.728070016060467</v>
      </c>
      <c r="N47" s="86"/>
      <c r="X47" s="8" t="str">
        <f>"Savings over "&amp;Z41&amp;" Years"</f>
        <v>Savings over 25 Years</v>
      </c>
      <c r="Z47" s="273">
        <f ca="1">SUM(OFFSET(AB9,0,0,Z41))</f>
        <v>1724295.6432295481</v>
      </c>
      <c r="AA47" s="93"/>
      <c r="AB47" s="9"/>
    </row>
    <row r="48" spans="1:29" x14ac:dyDescent="0.25">
      <c r="A48" s="184"/>
      <c r="B48" s="185"/>
      <c r="C48" s="185"/>
      <c r="D48" s="185"/>
      <c r="H48" s="82"/>
      <c r="I48" s="86"/>
      <c r="J48" s="8"/>
      <c r="L48" s="82" t="s">
        <v>169</v>
      </c>
      <c r="M48" s="83">
        <f>M47*365/12</f>
        <v>417.56212965517255</v>
      </c>
      <c r="N48" s="86"/>
      <c r="Z48" s="9"/>
      <c r="AA48" s="9"/>
      <c r="AB48" s="9"/>
    </row>
    <row r="49" spans="1:28" x14ac:dyDescent="0.25">
      <c r="A49" s="184"/>
      <c r="B49" s="185"/>
      <c r="C49" s="185"/>
      <c r="D49" s="185"/>
      <c r="H49" s="82"/>
      <c r="I49" s="86"/>
      <c r="J49" s="86"/>
      <c r="M49" s="86" t="str">
        <f>IF(K10=FALSE,"",ROUND(M48*CALCULATOR!T10,-2)-J45)</f>
        <v/>
      </c>
      <c r="N49" s="86"/>
      <c r="Z49" s="94"/>
      <c r="AA49" s="94"/>
      <c r="AB49" s="9"/>
    </row>
    <row r="50" spans="1:28" x14ac:dyDescent="0.25">
      <c r="A50" s="184"/>
      <c r="B50" s="185"/>
      <c r="C50" s="185"/>
      <c r="D50" s="185"/>
      <c r="H50" s="82"/>
      <c r="I50" s="86"/>
      <c r="J50" s="86"/>
      <c r="M50" s="86"/>
      <c r="N50" s="86"/>
      <c r="Z50" s="280"/>
      <c r="AA50" s="280"/>
      <c r="AB50" s="9"/>
    </row>
    <row r="51" spans="1:28" x14ac:dyDescent="0.25">
      <c r="F51" s="75">
        <f>1-J37/D37</f>
        <v>0.40364339199999999</v>
      </c>
      <c r="G51" s="48" t="str">
        <f>TEXT(C53,"#")&amp;"-kWp Solar"&amp;IF(H12&gt;0," with "&amp;CALCULATOR!Z26&amp;"-kW Battery","")</f>
        <v>5-kWp Solar</v>
      </c>
    </row>
    <row r="52" spans="1:28" x14ac:dyDescent="0.25">
      <c r="F52" s="75">
        <f>1-M37/D37</f>
        <v>0.40364339199999999</v>
      </c>
      <c r="G52" s="48" t="str">
        <f>G51&amp;" &amp; Net Metering"</f>
        <v>5-kWp Solar &amp; Net Metering</v>
      </c>
    </row>
    <row r="53" spans="1:28" x14ac:dyDescent="0.25">
      <c r="B53" s="18" t="s">
        <v>56</v>
      </c>
      <c r="C53" s="87">
        <f>CALCULATOR!Y6</f>
        <v>5.04</v>
      </c>
      <c r="D53" s="87"/>
      <c r="E53" s="87"/>
    </row>
    <row r="54" spans="1:28" x14ac:dyDescent="0.25">
      <c r="A54" s="88" t="s">
        <v>57</v>
      </c>
      <c r="B54" s="18" t="s">
        <v>58</v>
      </c>
      <c r="C54" s="170">
        <f>C53*ADMIN!C82</f>
        <v>18.144000000000002</v>
      </c>
      <c r="D54" s="10">
        <f>SUM(D55:D66)</f>
        <v>18.143999999999998</v>
      </c>
      <c r="F54" s="8" t="str">
        <f>TEXT(C53,"0.0")&amp;"-kWp Solar "&amp;IF(AND(H10&gt;0,K10=TRUE),"w/ "&amp;H10&amp;"-kWh Batteries &amp; Net-Metering ",IF(AND(H12&gt;0,K10=FALSE),"w/ "&amp;H10&amp;"-kWh Batteries ",IF(AND(H12=0,K10=TRUE),"w/ Net-Metering ","")))&amp;"covers "&amp;TEXT(F52,"0.0%")&amp;" of energy consumption."</f>
        <v>5.0-kWp Solar covers 40.4% of energy consumption.</v>
      </c>
    </row>
    <row r="55" spans="1:28" x14ac:dyDescent="0.25">
      <c r="A55" s="89">
        <v>1.7000000000000001E-2</v>
      </c>
      <c r="B55" s="59">
        <v>0.25</v>
      </c>
      <c r="C55" s="171">
        <f>A55*ADMIN!$C$82</f>
        <v>6.1200000000000004E-2</v>
      </c>
      <c r="D55" s="10">
        <f t="shared" ref="D55:D66" si="21">C55*$C$53</f>
        <v>0.308448</v>
      </c>
    </row>
    <row r="56" spans="1:28" x14ac:dyDescent="0.25">
      <c r="A56" s="89">
        <v>4.9000000000000002E-2</v>
      </c>
      <c r="B56" s="59">
        <v>0.29166666666666702</v>
      </c>
      <c r="C56" s="171">
        <f>A56*ADMIN!$C$82</f>
        <v>0.1764</v>
      </c>
      <c r="D56" s="10">
        <f t="shared" si="21"/>
        <v>0.88905599999999996</v>
      </c>
    </row>
    <row r="57" spans="1:28" x14ac:dyDescent="0.25">
      <c r="A57" s="89">
        <v>7.8E-2</v>
      </c>
      <c r="B57" s="59">
        <v>0.33333333333333298</v>
      </c>
      <c r="C57" s="171">
        <f>A57*ADMIN!$C$82</f>
        <v>0.28079999999999999</v>
      </c>
      <c r="D57" s="10">
        <f t="shared" si="21"/>
        <v>1.415232</v>
      </c>
      <c r="G57" s="8" t="s">
        <v>59</v>
      </c>
      <c r="H57" s="9" t="s">
        <v>60</v>
      </c>
      <c r="I57" s="9" t="s">
        <v>61</v>
      </c>
      <c r="J57" s="9" t="s">
        <v>62</v>
      </c>
    </row>
    <row r="58" spans="1:28" x14ac:dyDescent="0.25">
      <c r="A58" s="89">
        <v>0.10299999999999999</v>
      </c>
      <c r="B58" s="59">
        <v>0.375</v>
      </c>
      <c r="C58" s="171">
        <f>A58*ADMIN!$C$82</f>
        <v>0.37079999999999996</v>
      </c>
      <c r="D58" s="10">
        <f t="shared" si="21"/>
        <v>1.8688319999999998</v>
      </c>
      <c r="G58" s="75">
        <v>1</v>
      </c>
      <c r="H58" s="11">
        <f>1-H59</f>
        <v>0.59635660800000012</v>
      </c>
      <c r="I58" s="75">
        <f>1-I59-I60</f>
        <v>0.59635660800000012</v>
      </c>
      <c r="J58" s="75">
        <f>1-J59-J60-J61</f>
        <v>0.59635660800000012</v>
      </c>
    </row>
    <row r="59" spans="1:28" x14ac:dyDescent="0.25">
      <c r="A59" s="89">
        <v>0.121</v>
      </c>
      <c r="B59" s="59">
        <v>0.41666666666666702</v>
      </c>
      <c r="C59" s="171">
        <f>A59*ADMIN!$C$82</f>
        <v>0.43559999999999999</v>
      </c>
      <c r="D59" s="10">
        <f t="shared" si="21"/>
        <v>2.195424</v>
      </c>
      <c r="G59" s="75">
        <v>0</v>
      </c>
      <c r="H59" s="11">
        <f>F40</f>
        <v>0.40364339199999988</v>
      </c>
      <c r="I59" s="75">
        <f>F40</f>
        <v>0.40364339199999988</v>
      </c>
      <c r="J59" s="75">
        <f>I59</f>
        <v>0.40364339199999988</v>
      </c>
    </row>
    <row r="60" spans="1:28" x14ac:dyDescent="0.25">
      <c r="A60" s="89">
        <v>0.13200000000000001</v>
      </c>
      <c r="B60" s="59">
        <v>0.45833333333333298</v>
      </c>
      <c r="C60" s="171">
        <f>A60*ADMIN!$C$82</f>
        <v>0.47520000000000001</v>
      </c>
      <c r="D60" s="10">
        <f t="shared" si="21"/>
        <v>2.3950080000000002</v>
      </c>
      <c r="G60" s="75">
        <v>0</v>
      </c>
      <c r="H60" s="75">
        <v>0</v>
      </c>
      <c r="I60" s="75">
        <f>F51-F40</f>
        <v>0</v>
      </c>
      <c r="J60" s="75">
        <f>I60</f>
        <v>0</v>
      </c>
    </row>
    <row r="61" spans="1:28" x14ac:dyDescent="0.25">
      <c r="A61" s="89">
        <v>0.13200000000000001</v>
      </c>
      <c r="B61" s="59">
        <v>0.5</v>
      </c>
      <c r="C61" s="171">
        <f>A61*ADMIN!$C$82</f>
        <v>0.47520000000000001</v>
      </c>
      <c r="D61" s="10">
        <f t="shared" si="21"/>
        <v>2.3950080000000002</v>
      </c>
      <c r="G61" s="75">
        <v>0</v>
      </c>
      <c r="H61" s="75">
        <v>0</v>
      </c>
      <c r="I61" s="75">
        <v>0</v>
      </c>
      <c r="J61" s="11">
        <f>F52-F51</f>
        <v>0</v>
      </c>
    </row>
    <row r="62" spans="1:28" x14ac:dyDescent="0.25">
      <c r="A62" s="89">
        <v>0.121</v>
      </c>
      <c r="B62" s="59">
        <v>0.54166666666666696</v>
      </c>
      <c r="C62" s="171">
        <f>A62*ADMIN!$C$82</f>
        <v>0.43559999999999999</v>
      </c>
      <c r="D62" s="10">
        <f t="shared" si="21"/>
        <v>2.195424</v>
      </c>
    </row>
    <row r="63" spans="1:28" x14ac:dyDescent="0.25">
      <c r="A63" s="89">
        <v>0.10299999999999999</v>
      </c>
      <c r="B63" s="59">
        <v>0.58333333333333304</v>
      </c>
      <c r="C63" s="171">
        <f>A63*ADMIN!$C$82</f>
        <v>0.37079999999999996</v>
      </c>
      <c r="D63" s="10">
        <f t="shared" si="21"/>
        <v>1.8688319999999998</v>
      </c>
    </row>
    <row r="64" spans="1:28" x14ac:dyDescent="0.25">
      <c r="A64" s="89">
        <v>7.8E-2</v>
      </c>
      <c r="B64" s="59">
        <v>0.625</v>
      </c>
      <c r="C64" s="171">
        <f>A64*ADMIN!$C$82</f>
        <v>0.28079999999999999</v>
      </c>
      <c r="D64" s="10">
        <f t="shared" si="21"/>
        <v>1.415232</v>
      </c>
    </row>
    <row r="65" spans="1:4" x14ac:dyDescent="0.25">
      <c r="A65" s="89">
        <v>4.9000000000000002E-2</v>
      </c>
      <c r="B65" s="59">
        <v>0.66666666666666696</v>
      </c>
      <c r="C65" s="171">
        <f>A65*ADMIN!$C$82</f>
        <v>0.1764</v>
      </c>
      <c r="D65" s="10">
        <f t="shared" si="21"/>
        <v>0.88905599999999996</v>
      </c>
    </row>
    <row r="66" spans="1:4" x14ac:dyDescent="0.25">
      <c r="A66" s="89">
        <v>1.7000000000000001E-2</v>
      </c>
      <c r="B66" s="59">
        <v>0.70833333333333304</v>
      </c>
      <c r="C66" s="171">
        <f>A66*ADMIN!$C$82</f>
        <v>6.1200000000000004E-2</v>
      </c>
      <c r="D66" s="10">
        <f t="shared" si="21"/>
        <v>0.308448</v>
      </c>
    </row>
    <row r="67" spans="1:4" x14ac:dyDescent="0.25">
      <c r="A67" s="90">
        <f>SUM(A55:A66)</f>
        <v>1</v>
      </c>
      <c r="C67" s="11">
        <f>SUM(C55:C66)</f>
        <v>3.6</v>
      </c>
      <c r="D67" s="11"/>
    </row>
    <row r="80" spans="1:4" x14ac:dyDescent="0.25">
      <c r="B80" s="95"/>
    </row>
  </sheetData>
  <sheetProtection sheet="1" objects="1" scenarios="1"/>
  <mergeCells count="1">
    <mergeCell ref="A42:A43"/>
  </mergeCells>
  <conditionalFormatting sqref="O5:U11">
    <cfRule type="cellIs" dxfId="0" priority="1" operator="equal">
      <formula>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253B0-641B-4F6F-B60F-13719A741942}">
  <sheetPr codeName="Sheet4"/>
  <dimension ref="B1:C12"/>
  <sheetViews>
    <sheetView zoomScaleNormal="100" workbookViewId="0">
      <selection activeCell="B3" sqref="B3"/>
    </sheetView>
  </sheetViews>
  <sheetFormatPr defaultColWidth="8.85546875" defaultRowHeight="24.95" customHeight="1" x14ac:dyDescent="0.25"/>
  <cols>
    <col min="1" max="1" width="8.85546875" style="209"/>
    <col min="2" max="2" width="8.85546875" style="211"/>
    <col min="3" max="3" width="40.85546875" style="209" customWidth="1"/>
    <col min="4" max="16384" width="8.85546875" style="209"/>
  </cols>
  <sheetData>
    <row r="1" spans="2:3" ht="24.95" customHeight="1" x14ac:dyDescent="0.4">
      <c r="B1" s="208" t="s">
        <v>180</v>
      </c>
    </row>
    <row r="2" spans="2:3" ht="24.95" customHeight="1" x14ac:dyDescent="0.3">
      <c r="B2" s="210" t="s">
        <v>241</v>
      </c>
    </row>
    <row r="3" spans="2:3" ht="24.95" customHeight="1" thickBot="1" x14ac:dyDescent="0.3"/>
    <row r="4" spans="2:3" ht="24.95" customHeight="1" thickTop="1" x14ac:dyDescent="0.25">
      <c r="B4" s="212" t="s">
        <v>140</v>
      </c>
      <c r="C4" s="213" t="s">
        <v>181</v>
      </c>
    </row>
    <row r="5" spans="2:3" ht="24.95" customHeight="1" x14ac:dyDescent="0.25">
      <c r="B5" s="214" t="s">
        <v>141</v>
      </c>
      <c r="C5" s="215" t="s">
        <v>182</v>
      </c>
    </row>
    <row r="6" spans="2:3" ht="24.95" customHeight="1" thickBot="1" x14ac:dyDescent="0.3">
      <c r="B6" s="216" t="s">
        <v>183</v>
      </c>
      <c r="C6" s="217" t="s">
        <v>184</v>
      </c>
    </row>
    <row r="7" spans="2:3" ht="24.95" customHeight="1" thickTop="1" x14ac:dyDescent="0.25"/>
    <row r="8" spans="2:3" ht="24.95" customHeight="1" x14ac:dyDescent="0.3">
      <c r="B8" s="210" t="s">
        <v>185</v>
      </c>
    </row>
    <row r="10" spans="2:3" ht="24.95" customHeight="1" x14ac:dyDescent="0.3">
      <c r="B10" s="210" t="s">
        <v>186</v>
      </c>
    </row>
    <row r="12" spans="2:3" ht="24.95" customHeight="1" x14ac:dyDescent="0.3">
      <c r="B12" s="210" t="s">
        <v>187</v>
      </c>
    </row>
  </sheetData>
  <hyperlinks>
    <hyperlink ref="C5" r:id="rId1" xr:uid="{D95935D1-8CAC-4B34-8A81-CAB46F4018B4}"/>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ADMIN</vt:lpstr>
      <vt:lpstr>CALCULATOR</vt:lpstr>
      <vt:lpstr>SCHEDULE</vt:lpstr>
      <vt:lpstr>AGENT</vt:lpstr>
      <vt:lpstr>CALCULATOR!Print_Area</vt:lpstr>
    </vt:vector>
  </TitlesOfParts>
  <Company>SM Prime Holdings,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 Carague</dc:creator>
  <cp:lastModifiedBy>Alden Reyes</cp:lastModifiedBy>
  <cp:lastPrinted>2026-04-08T03:48:26Z</cp:lastPrinted>
  <dcterms:created xsi:type="dcterms:W3CDTF">2026-03-18T06:06:04Z</dcterms:created>
  <dcterms:modified xsi:type="dcterms:W3CDTF">2026-04-12T08:56:29Z</dcterms:modified>
</cp:coreProperties>
</file>